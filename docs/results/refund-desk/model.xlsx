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Model" sheetId="2" state="visible" r:id="rId2"/>
    <sheet name="Cashflows" sheetId="3" state="visible" r:id="rId3"/>
  </sheets>
  <definedNames>
    <definedName name="UseMonthlyVolume">Inputs!$B$20</definedName>
    <definedName name="VolumePerDay">Inputs!$B$2</definedName>
    <definedName name="VolumePerMonth">Inputs!$B$21</definedName>
    <definedName name="WorkingDays">Inputs!$B$3</definedName>
    <definedName name="ManualMinutes">Inputs!$B$4</definedName>
    <definedName name="LoadedCostPerHour">Inputs!$B$5</definedName>
    <definedName name="ManualErrorRate">Inputs!$B$6</definedName>
    <definedName name="AgentErrorRate">Inputs!$B$7</definedName>
    <definedName name="CostOfError">Inputs!$B$8</definedName>
    <definedName name="InputTokens">Inputs!$B$9</definedName>
    <definedName name="OutputTokens">Inputs!$B$10</definedName>
    <definedName name="InputPricePerMillion">Inputs!$B$11</definedName>
    <definedName name="OutputPricePerMillion">Inputs!$B$12</definedName>
    <definedName name="ReviewMinutes">Inputs!$B$13</definedName>
    <definedName name="ReviewRate">Inputs!$B$14</definedName>
    <definedName name="ImplementationCost">Inputs!$B$15</definedName>
    <definedName name="MonthlyRunCost">Inputs!$B$16</definedName>
    <definedName name="AdoptionRamp">Inputs!$B$17</definedName>
    <definedName name="DiscountRate">Inputs!$B$18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  <c r="C1" t="inlineStr">
        <is>
          <t>unit</t>
        </is>
      </c>
      <c r="D1" t="inlineStr">
        <is>
          <t>rationale</t>
        </is>
      </c>
    </row>
    <row r="2">
      <c r="A2" t="inlineStr">
        <is>
          <t>volume_per_day</t>
        </is>
      </c>
      <c r="B2" t="n">
        <v>120</v>
      </c>
      <c r="C2" t="inlineStr">
        <is>
          <t>items/day</t>
        </is>
      </c>
      <c r="D2" t="inlineStr">
        <is>
          <t>[EST] Planning volume for a mid-size fictional returns desk, not a count from a warehouse.</t>
        </is>
      </c>
    </row>
    <row r="3">
      <c r="A3" t="inlineStr">
        <is>
          <t>working_days_per_month</t>
        </is>
      </c>
      <c r="B3" t="n">
        <v>21</v>
      </c>
      <c r="C3" t="inlineStr">
        <is>
          <t>days/month</t>
        </is>
      </c>
      <c r="D3" t="inlineStr">
        <is>
          <t>[EST] A conventional business month. It is not this company's calendar.</t>
        </is>
      </c>
    </row>
    <row r="4">
      <c r="A4" t="inlineStr">
        <is>
          <t>manual_minutes_per_item</t>
        </is>
      </c>
      <c r="B4" t="n">
        <v>12</v>
      </c>
      <c r="C4" t="inlineStr">
        <is>
          <t>minutes</t>
        </is>
      </c>
      <c r="D4" t="inlineStr">
        <is>
          <t>[EST] Time to read a return, check policy and type a decision without an agent.</t>
        </is>
      </c>
    </row>
    <row r="5">
      <c r="A5" t="inlineStr">
        <is>
          <t>loaded_cost_per_hour</t>
        </is>
      </c>
      <c r="B5" t="n">
        <v>32</v>
      </c>
      <c r="C5" t="inlineStr">
        <is>
          <t>USD/hour</t>
        </is>
      </c>
      <c r="D5" t="inlineStr">
        <is>
          <t>[EST] Loaded desk cost, not a wage from a payroll system.</t>
        </is>
      </c>
    </row>
    <row r="6">
      <c r="A6" t="inlineStr">
        <is>
          <t>manual_error_rate</t>
        </is>
      </c>
      <c r="B6" t="n">
        <v>0.06</v>
      </c>
      <c r="C6" t="inlineStr">
        <is>
          <t>fraction</t>
        </is>
      </c>
      <c r="D6" t="inlineStr">
        <is>
          <t>[EST] Share of manual decisions that need rework or a goodwill payment.</t>
        </is>
      </c>
    </row>
    <row r="7">
      <c r="A7" t="inlineStr">
        <is>
          <t>agent_error_rate</t>
        </is>
      </c>
      <c r="B7" t="n">
        <v>0.02</v>
      </c>
      <c r="C7" t="inlineStr">
        <is>
          <t>fraction</t>
        </is>
      </c>
      <c r="D7" t="inlineStr">
        <is>
          <t>[EST] Residual errors after the review policy. Not a measured model score.</t>
        </is>
      </c>
    </row>
    <row r="8">
      <c r="A8" t="inlineStr">
        <is>
          <t>cost_of_error</t>
        </is>
      </c>
      <c r="B8" t="n">
        <v>25</v>
      </c>
      <c r="C8" t="inlineStr">
        <is>
          <t>USD/error</t>
        </is>
      </c>
      <c r="D8" t="inlineStr">
        <is>
          <t>[EST] Average cost of one bad refund decision, goodwill plus rework.</t>
        </is>
      </c>
    </row>
    <row r="9">
      <c r="A9" t="inlineStr">
        <is>
          <t>input_tokens</t>
        </is>
      </c>
      <c r="B9" t="n">
        <v>1800</v>
      </c>
      <c r="C9" t="inlineStr">
        <is>
          <t>tokens</t>
        </is>
      </c>
      <c r="D9" t="inlineStr">
        <is>
          <t>[EST] Prompt size for one case file. Not a trace from a provider.</t>
        </is>
      </c>
    </row>
    <row r="10">
      <c r="A10" t="inlineStr">
        <is>
          <t>output_tokens</t>
        </is>
      </c>
      <c r="B10" t="n">
        <v>400</v>
      </c>
      <c r="C10" t="inlineStr">
        <is>
          <t>tokens</t>
        </is>
      </c>
      <c r="D10" t="inlineStr">
        <is>
          <t>[EST] Draft length. Not a measured completion.</t>
        </is>
      </c>
    </row>
    <row r="11">
      <c r="A11" t="inlineStr">
        <is>
          <t>input_price_per_million</t>
        </is>
      </c>
      <c r="B11" t="n">
        <v>1.5</v>
      </c>
      <c r="C11" t="inlineStr">
        <is>
          <t>USD/1M tokens</t>
        </is>
      </c>
      <c r="D11" t="inlineStr">
        <is>
          <t>[EST] Illustrative blended price. Not copied from a vendor price page.</t>
        </is>
      </c>
    </row>
    <row r="12">
      <c r="A12" t="inlineStr">
        <is>
          <t>output_price_per_million</t>
        </is>
      </c>
      <c r="B12" t="n">
        <v>6</v>
      </c>
      <c r="C12" t="inlineStr">
        <is>
          <t>USD/1M tokens</t>
        </is>
      </c>
      <c r="D12" t="inlineStr">
        <is>
          <t>[EST] Illustrative blended price. Not copied from a vendor price page.</t>
        </is>
      </c>
    </row>
    <row r="13">
      <c r="A13" t="inlineStr">
        <is>
          <t>review_minutes</t>
        </is>
      </c>
      <c r="B13" t="n">
        <v>5</v>
      </c>
      <c r="C13" t="inlineStr">
        <is>
          <t>minutes</t>
        </is>
      </c>
      <c r="D13" t="inlineStr">
        <is>
          <t>[EST] Time a person spends when a case is routed to review.</t>
        </is>
      </c>
    </row>
    <row r="14">
      <c r="A14" t="inlineStr">
        <is>
          <t>review_rate</t>
        </is>
      </c>
      <c r="B14" t="n">
        <v>0.5</v>
      </c>
      <c r="C14" t="inlineStr">
        <is>
          <t>fraction</t>
        </is>
      </c>
      <c r="D14" t="inlineStr">
        <is>
          <t>[EST] Share of cases a person still opens. The rest are not auto-approved by this model.</t>
        </is>
      </c>
    </row>
    <row r="15">
      <c r="A15" t="inlineStr">
        <is>
          <t>implementation_cost</t>
        </is>
      </c>
      <c r="B15" t="n">
        <v>180000</v>
      </c>
      <c r="C15" t="inlineStr">
        <is>
          <t>USD</t>
        </is>
      </c>
      <c r="D15" t="inlineStr">
        <is>
          <t>[EST] One-time build, integration and change-management sketch. Not a quote.</t>
        </is>
      </c>
    </row>
    <row r="16">
      <c r="A16" t="inlineStr">
        <is>
          <t>monthly_run_cost</t>
        </is>
      </c>
      <c r="B16" t="n">
        <v>2500</v>
      </c>
      <c r="C16" t="inlineStr">
        <is>
          <t>USD/month</t>
        </is>
      </c>
      <c r="D16" t="inlineStr">
        <is>
          <t>[EST] Fixed monthly platform and on-call cost. Charged in full during the ramp.</t>
        </is>
      </c>
    </row>
    <row r="17">
      <c r="A17" t="inlineStr">
        <is>
          <t>adoption_ramp_months</t>
        </is>
      </c>
      <c r="B17" t="n">
        <v>6</v>
      </c>
      <c r="C17" t="inlineStr">
        <is>
          <t>months</t>
        </is>
      </c>
      <c r="D17" t="inlineStr">
        <is>
          <t>[EST] Months until the desk uses the agent on every case.</t>
        </is>
      </c>
    </row>
    <row r="18">
      <c r="A18" t="inlineStr">
        <is>
          <t>discount_rate_annual</t>
        </is>
      </c>
      <c r="B18" t="n">
        <v>0.1</v>
      </c>
      <c r="C18" t="inlineStr">
        <is>
          <t>fraction</t>
        </is>
      </c>
      <c r="D18" t="inlineStr">
        <is>
          <t>[EST] Annual discount rate for a 3-year NPV. Not a treasury rate.</t>
        </is>
      </c>
    </row>
    <row r="20">
      <c r="A20" t="inlineStr">
        <is>
          <t>use_monthly_volume</t>
        </is>
      </c>
      <c r="B20" t="n">
        <v>0</v>
      </c>
      <c r="D20" t="inlineStr">
        <is>
          <t>1 when the case is stated per month</t>
        </is>
      </c>
    </row>
    <row r="21">
      <c r="A21" t="inlineStr">
        <is>
          <t>volume_per_month</t>
        </is>
      </c>
      <c r="B21" t="n">
        <v>0</v>
      </c>
      <c r="D21" t="inlineStr">
        <is>
          <t>unused in this volume mode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formula</t>
        </is>
      </c>
    </row>
    <row r="2">
      <c r="A2" t="inlineStr">
        <is>
          <t>agent_run_cost</t>
        </is>
      </c>
      <c r="B2">
        <f>InputTokens/1000000*InputPricePerMillion+OutputTokens/1000000*OutputPricePerMillion</f>
        <v/>
      </c>
    </row>
    <row r="3">
      <c r="A3" t="inlineStr">
        <is>
          <t>manual_labor</t>
        </is>
      </c>
      <c r="B3">
        <f>ManualMinutes/60*LoadedCostPerHour</f>
        <v/>
      </c>
    </row>
    <row r="4">
      <c r="A4" t="inlineStr">
        <is>
          <t>manual_error</t>
        </is>
      </c>
      <c r="B4">
        <f>ManualErrorRate*CostOfError</f>
        <v/>
      </c>
    </row>
    <row r="5">
      <c r="A5" t="inlineStr">
        <is>
          <t>review_cost</t>
        </is>
      </c>
      <c r="B5">
        <f>ReviewRate*(ReviewMinutes/60)*LoadedCostPerHour</f>
        <v/>
      </c>
    </row>
    <row r="6">
      <c r="A6" t="inlineStr">
        <is>
          <t>residual_error</t>
        </is>
      </c>
      <c r="B6">
        <f>AgentErrorRate*CostOfError</f>
        <v/>
      </c>
    </row>
    <row r="7">
      <c r="A7" t="inlineStr">
        <is>
          <t>quality_adjusted_savings</t>
        </is>
      </c>
      <c r="B7">
        <f>B3+B4-(B2+B5)-B6</f>
        <v/>
      </c>
    </row>
    <row r="8">
      <c r="A8" t="inlineStr">
        <is>
          <t>monthly_volume_steady</t>
        </is>
      </c>
      <c r="B8">
        <f>IF(UseMonthlyVolume=1,VolumePerMonth,VolumePerDay*WorkingDays)</f>
        <v/>
      </c>
    </row>
    <row r="9">
      <c r="A9" t="inlineStr">
        <is>
          <t>net_monthly_steady</t>
        </is>
      </c>
      <c r="B9">
        <f>B8*B7-MonthlyRunCost</f>
        <v/>
      </c>
    </row>
    <row r="10">
      <c r="A10" t="inlineStr">
        <is>
          <t>break_even_volume</t>
        </is>
      </c>
      <c r="B10">
        <f>IF(B7&lt;=0,"never",MonthlyRunCost/B7)</f>
        <v/>
      </c>
    </row>
    <row r="11">
      <c r="A11" t="inlineStr">
        <is>
          <t>monthly_discount_rate</t>
        </is>
      </c>
      <c r="B11">
        <f>(1+DiscountRate)^(1/12)-1</f>
        <v/>
      </c>
    </row>
    <row r="12">
      <c r="A12" t="inlineStr">
        <is>
          <t>npv</t>
        </is>
      </c>
      <c r="B12">
        <f>-ImplementationCost+SUM(Cashflows!E2:E361)</f>
        <v/>
      </c>
    </row>
    <row r="13">
      <c r="A13" t="inlineStr">
        <is>
          <t>payback_months</t>
        </is>
      </c>
      <c r="B13">
        <f>IF(COUNT(Cashflows!H2:H361)=0,"never",SUM(Cashflows!H2:H361))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adoption</t>
        </is>
      </c>
      <c r="C1" t="inlineStr">
        <is>
          <t>volume</t>
        </is>
      </c>
      <c r="D1" t="inlineStr">
        <is>
          <t>net</t>
        </is>
      </c>
      <c r="E1" t="inlineStr">
        <is>
          <t>discounted</t>
        </is>
      </c>
      <c r="F1" t="inlineStr">
        <is>
          <t>cumulative</t>
        </is>
      </c>
      <c r="G1" t="inlineStr">
        <is>
          <t>blank</t>
        </is>
      </c>
      <c r="H1" t="inlineStr">
        <is>
          <t>payback_piece</t>
        </is>
      </c>
    </row>
    <row r="2">
      <c r="A2">
        <f>1</f>
        <v/>
      </c>
      <c r="B2">
        <f>IF(AdoptionRamp&lt;=0,1,MIN(1,A2/AdoptionRamp))</f>
        <v/>
      </c>
      <c r="C2">
        <f>Model!$B$8*B2</f>
        <v/>
      </c>
      <c r="D2">
        <f>C2*Model!$B$7-MonthlyRunCost</f>
        <v/>
      </c>
      <c r="E2">
        <f>D2/(1+Model!$B$11)^A2</f>
        <v/>
      </c>
      <c r="F2">
        <f>-ImplementationCost+D2</f>
        <v/>
      </c>
      <c r="H2">
        <f>IF(F2&gt;=0,IF(D2&lt;=0,0,ImplementationCost/D2),"")</f>
        <v/>
      </c>
    </row>
    <row r="3">
      <c r="A3">
        <f>A2+1</f>
        <v/>
      </c>
      <c r="B3">
        <f>IF(AdoptionRamp&lt;=0,1,MIN(1,A3/AdoptionRamp))</f>
        <v/>
      </c>
      <c r="C3">
        <f>Model!$B$8*B3</f>
        <v/>
      </c>
      <c r="D3">
        <f>C3*Model!$B$7-MonthlyRunCost</f>
        <v/>
      </c>
      <c r="E3">
        <f>D3/(1+Model!$B$11)^A3</f>
        <v/>
      </c>
      <c r="F3">
        <f>F2+D3</f>
        <v/>
      </c>
      <c r="H3">
        <f>IF(AND(F3&gt;=0,F2&lt;0),(A3-1)+IF(D3&lt;=0,0,-F2/D3),"")</f>
        <v/>
      </c>
    </row>
    <row r="4">
      <c r="A4">
        <f>A3+1</f>
        <v/>
      </c>
      <c r="B4">
        <f>IF(AdoptionRamp&lt;=0,1,MIN(1,A4/AdoptionRamp))</f>
        <v/>
      </c>
      <c r="C4">
        <f>Model!$B$8*B4</f>
        <v/>
      </c>
      <c r="D4">
        <f>C4*Model!$B$7-MonthlyRunCost</f>
        <v/>
      </c>
      <c r="E4">
        <f>D4/(1+Model!$B$11)^A4</f>
        <v/>
      </c>
      <c r="F4">
        <f>F3+D4</f>
        <v/>
      </c>
      <c r="H4">
        <f>IF(AND(F4&gt;=0,F3&lt;0),(A4-1)+IF(D4&lt;=0,0,-F3/D4),"")</f>
        <v/>
      </c>
    </row>
    <row r="5">
      <c r="A5">
        <f>A4+1</f>
        <v/>
      </c>
      <c r="B5">
        <f>IF(AdoptionRamp&lt;=0,1,MIN(1,A5/AdoptionRamp))</f>
        <v/>
      </c>
      <c r="C5">
        <f>Model!$B$8*B5</f>
        <v/>
      </c>
      <c r="D5">
        <f>C5*Model!$B$7-MonthlyRunCost</f>
        <v/>
      </c>
      <c r="E5">
        <f>D5/(1+Model!$B$11)^A5</f>
        <v/>
      </c>
      <c r="F5">
        <f>F4+D5</f>
        <v/>
      </c>
      <c r="H5">
        <f>IF(AND(F5&gt;=0,F4&lt;0),(A5-1)+IF(D5&lt;=0,0,-F4/D5),"")</f>
        <v/>
      </c>
    </row>
    <row r="6">
      <c r="A6">
        <f>A5+1</f>
        <v/>
      </c>
      <c r="B6">
        <f>IF(AdoptionRamp&lt;=0,1,MIN(1,A6/AdoptionRamp))</f>
        <v/>
      </c>
      <c r="C6">
        <f>Model!$B$8*B6</f>
        <v/>
      </c>
      <c r="D6">
        <f>C6*Model!$B$7-MonthlyRunCost</f>
        <v/>
      </c>
      <c r="E6">
        <f>D6/(1+Model!$B$11)^A6</f>
        <v/>
      </c>
      <c r="F6">
        <f>F5+D6</f>
        <v/>
      </c>
      <c r="H6">
        <f>IF(AND(F6&gt;=0,F5&lt;0),(A6-1)+IF(D6&lt;=0,0,-F5/D6),"")</f>
        <v/>
      </c>
    </row>
    <row r="7">
      <c r="A7">
        <f>A6+1</f>
        <v/>
      </c>
      <c r="B7">
        <f>IF(AdoptionRamp&lt;=0,1,MIN(1,A7/AdoptionRamp))</f>
        <v/>
      </c>
      <c r="C7">
        <f>Model!$B$8*B7</f>
        <v/>
      </c>
      <c r="D7">
        <f>C7*Model!$B$7-MonthlyRunCost</f>
        <v/>
      </c>
      <c r="E7">
        <f>D7/(1+Model!$B$11)^A7</f>
        <v/>
      </c>
      <c r="F7">
        <f>F6+D7</f>
        <v/>
      </c>
      <c r="H7">
        <f>IF(AND(F7&gt;=0,F6&lt;0),(A7-1)+IF(D7&lt;=0,0,-F6/D7),"")</f>
        <v/>
      </c>
    </row>
    <row r="8">
      <c r="A8">
        <f>A7+1</f>
        <v/>
      </c>
      <c r="B8">
        <f>IF(AdoptionRamp&lt;=0,1,MIN(1,A8/AdoptionRamp))</f>
        <v/>
      </c>
      <c r="C8">
        <f>Model!$B$8*B8</f>
        <v/>
      </c>
      <c r="D8">
        <f>C8*Model!$B$7-MonthlyRunCost</f>
        <v/>
      </c>
      <c r="E8">
        <f>D8/(1+Model!$B$11)^A8</f>
        <v/>
      </c>
      <c r="F8">
        <f>F7+D8</f>
        <v/>
      </c>
      <c r="H8">
        <f>IF(AND(F8&gt;=0,F7&lt;0),(A8-1)+IF(D8&lt;=0,0,-F7/D8),"")</f>
        <v/>
      </c>
    </row>
    <row r="9">
      <c r="A9">
        <f>A8+1</f>
        <v/>
      </c>
      <c r="B9">
        <f>IF(AdoptionRamp&lt;=0,1,MIN(1,A9/AdoptionRamp))</f>
        <v/>
      </c>
      <c r="C9">
        <f>Model!$B$8*B9</f>
        <v/>
      </c>
      <c r="D9">
        <f>C9*Model!$B$7-MonthlyRunCost</f>
        <v/>
      </c>
      <c r="E9">
        <f>D9/(1+Model!$B$11)^A9</f>
        <v/>
      </c>
      <c r="F9">
        <f>F8+D9</f>
        <v/>
      </c>
      <c r="H9">
        <f>IF(AND(F9&gt;=0,F8&lt;0),(A9-1)+IF(D9&lt;=0,0,-F8/D9),"")</f>
        <v/>
      </c>
    </row>
    <row r="10">
      <c r="A10">
        <f>A9+1</f>
        <v/>
      </c>
      <c r="B10">
        <f>IF(AdoptionRamp&lt;=0,1,MIN(1,A10/AdoptionRamp))</f>
        <v/>
      </c>
      <c r="C10">
        <f>Model!$B$8*B10</f>
        <v/>
      </c>
      <c r="D10">
        <f>C10*Model!$B$7-MonthlyRunCost</f>
        <v/>
      </c>
      <c r="E10">
        <f>D10/(1+Model!$B$11)^A10</f>
        <v/>
      </c>
      <c r="F10">
        <f>F9+D10</f>
        <v/>
      </c>
      <c r="H10">
        <f>IF(AND(F10&gt;=0,F9&lt;0),(A10-1)+IF(D10&lt;=0,0,-F9/D10),"")</f>
        <v/>
      </c>
    </row>
    <row r="11">
      <c r="A11">
        <f>A10+1</f>
        <v/>
      </c>
      <c r="B11">
        <f>IF(AdoptionRamp&lt;=0,1,MIN(1,A11/AdoptionRamp))</f>
        <v/>
      </c>
      <c r="C11">
        <f>Model!$B$8*B11</f>
        <v/>
      </c>
      <c r="D11">
        <f>C11*Model!$B$7-MonthlyRunCost</f>
        <v/>
      </c>
      <c r="E11">
        <f>D11/(1+Model!$B$11)^A11</f>
        <v/>
      </c>
      <c r="F11">
        <f>F10+D11</f>
        <v/>
      </c>
      <c r="H11">
        <f>IF(AND(F11&gt;=0,F10&lt;0),(A11-1)+IF(D11&lt;=0,0,-F10/D11),"")</f>
        <v/>
      </c>
    </row>
    <row r="12">
      <c r="A12">
        <f>A11+1</f>
        <v/>
      </c>
      <c r="B12">
        <f>IF(AdoptionRamp&lt;=0,1,MIN(1,A12/AdoptionRamp))</f>
        <v/>
      </c>
      <c r="C12">
        <f>Model!$B$8*B12</f>
        <v/>
      </c>
      <c r="D12">
        <f>C12*Model!$B$7-MonthlyRunCost</f>
        <v/>
      </c>
      <c r="E12">
        <f>D12/(1+Model!$B$11)^A12</f>
        <v/>
      </c>
      <c r="F12">
        <f>F11+D12</f>
        <v/>
      </c>
      <c r="H12">
        <f>IF(AND(F12&gt;=0,F11&lt;0),(A12-1)+IF(D12&lt;=0,0,-F11/D12),"")</f>
        <v/>
      </c>
    </row>
    <row r="13">
      <c r="A13">
        <f>A12+1</f>
        <v/>
      </c>
      <c r="B13">
        <f>IF(AdoptionRamp&lt;=0,1,MIN(1,A13/AdoptionRamp))</f>
        <v/>
      </c>
      <c r="C13">
        <f>Model!$B$8*B13</f>
        <v/>
      </c>
      <c r="D13">
        <f>C13*Model!$B$7-MonthlyRunCost</f>
        <v/>
      </c>
      <c r="E13">
        <f>D13/(1+Model!$B$11)^A13</f>
        <v/>
      </c>
      <c r="F13">
        <f>F12+D13</f>
        <v/>
      </c>
      <c r="H13">
        <f>IF(AND(F13&gt;=0,F12&lt;0),(A13-1)+IF(D13&lt;=0,0,-F12/D13),"")</f>
        <v/>
      </c>
    </row>
    <row r="14">
      <c r="A14">
        <f>A13+1</f>
        <v/>
      </c>
      <c r="B14">
        <f>IF(AdoptionRamp&lt;=0,1,MIN(1,A14/AdoptionRamp))</f>
        <v/>
      </c>
      <c r="C14">
        <f>Model!$B$8*B14</f>
        <v/>
      </c>
      <c r="D14">
        <f>C14*Model!$B$7-MonthlyRunCost</f>
        <v/>
      </c>
      <c r="E14">
        <f>D14/(1+Model!$B$11)^A14</f>
        <v/>
      </c>
      <c r="F14">
        <f>F13+D14</f>
        <v/>
      </c>
      <c r="H14">
        <f>IF(AND(F14&gt;=0,F13&lt;0),(A14-1)+IF(D14&lt;=0,0,-F13/D14),"")</f>
        <v/>
      </c>
    </row>
    <row r="15">
      <c r="A15">
        <f>A14+1</f>
        <v/>
      </c>
      <c r="B15">
        <f>IF(AdoptionRamp&lt;=0,1,MIN(1,A15/AdoptionRamp))</f>
        <v/>
      </c>
      <c r="C15">
        <f>Model!$B$8*B15</f>
        <v/>
      </c>
      <c r="D15">
        <f>C15*Model!$B$7-MonthlyRunCost</f>
        <v/>
      </c>
      <c r="E15">
        <f>D15/(1+Model!$B$11)^A15</f>
        <v/>
      </c>
      <c r="F15">
        <f>F14+D15</f>
        <v/>
      </c>
      <c r="H15">
        <f>IF(AND(F15&gt;=0,F14&lt;0),(A15-1)+IF(D15&lt;=0,0,-F14/D15),"")</f>
        <v/>
      </c>
    </row>
    <row r="16">
      <c r="A16">
        <f>A15+1</f>
        <v/>
      </c>
      <c r="B16">
        <f>IF(AdoptionRamp&lt;=0,1,MIN(1,A16/AdoptionRamp))</f>
        <v/>
      </c>
      <c r="C16">
        <f>Model!$B$8*B16</f>
        <v/>
      </c>
      <c r="D16">
        <f>C16*Model!$B$7-MonthlyRunCost</f>
        <v/>
      </c>
      <c r="E16">
        <f>D16/(1+Model!$B$11)^A16</f>
        <v/>
      </c>
      <c r="F16">
        <f>F15+D16</f>
        <v/>
      </c>
      <c r="H16">
        <f>IF(AND(F16&gt;=0,F15&lt;0),(A16-1)+IF(D16&lt;=0,0,-F15/D16),"")</f>
        <v/>
      </c>
    </row>
    <row r="17">
      <c r="A17">
        <f>A16+1</f>
        <v/>
      </c>
      <c r="B17">
        <f>IF(AdoptionRamp&lt;=0,1,MIN(1,A17/AdoptionRamp))</f>
        <v/>
      </c>
      <c r="C17">
        <f>Model!$B$8*B17</f>
        <v/>
      </c>
      <c r="D17">
        <f>C17*Model!$B$7-MonthlyRunCost</f>
        <v/>
      </c>
      <c r="E17">
        <f>D17/(1+Model!$B$11)^A17</f>
        <v/>
      </c>
      <c r="F17">
        <f>F16+D17</f>
        <v/>
      </c>
      <c r="H17">
        <f>IF(AND(F17&gt;=0,F16&lt;0),(A17-1)+IF(D17&lt;=0,0,-F16/D17),"")</f>
        <v/>
      </c>
    </row>
    <row r="18">
      <c r="A18">
        <f>A17+1</f>
        <v/>
      </c>
      <c r="B18">
        <f>IF(AdoptionRamp&lt;=0,1,MIN(1,A18/AdoptionRamp))</f>
        <v/>
      </c>
      <c r="C18">
        <f>Model!$B$8*B18</f>
        <v/>
      </c>
      <c r="D18">
        <f>C18*Model!$B$7-MonthlyRunCost</f>
        <v/>
      </c>
      <c r="E18">
        <f>D18/(1+Model!$B$11)^A18</f>
        <v/>
      </c>
      <c r="F18">
        <f>F17+D18</f>
        <v/>
      </c>
      <c r="H18">
        <f>IF(AND(F18&gt;=0,F17&lt;0),(A18-1)+IF(D18&lt;=0,0,-F17/D18),"")</f>
        <v/>
      </c>
    </row>
    <row r="19">
      <c r="A19">
        <f>A18+1</f>
        <v/>
      </c>
      <c r="B19">
        <f>IF(AdoptionRamp&lt;=0,1,MIN(1,A19/AdoptionRamp))</f>
        <v/>
      </c>
      <c r="C19">
        <f>Model!$B$8*B19</f>
        <v/>
      </c>
      <c r="D19">
        <f>C19*Model!$B$7-MonthlyRunCost</f>
        <v/>
      </c>
      <c r="E19">
        <f>D19/(1+Model!$B$11)^A19</f>
        <v/>
      </c>
      <c r="F19">
        <f>F18+D19</f>
        <v/>
      </c>
      <c r="H19">
        <f>IF(AND(F19&gt;=0,F18&lt;0),(A19-1)+IF(D19&lt;=0,0,-F18/D19),"")</f>
        <v/>
      </c>
    </row>
    <row r="20">
      <c r="A20">
        <f>A19+1</f>
        <v/>
      </c>
      <c r="B20">
        <f>IF(AdoptionRamp&lt;=0,1,MIN(1,A20/AdoptionRamp))</f>
        <v/>
      </c>
      <c r="C20">
        <f>Model!$B$8*B20</f>
        <v/>
      </c>
      <c r="D20">
        <f>C20*Model!$B$7-MonthlyRunCost</f>
        <v/>
      </c>
      <c r="E20">
        <f>D20/(1+Model!$B$11)^A20</f>
        <v/>
      </c>
      <c r="F20">
        <f>F19+D20</f>
        <v/>
      </c>
      <c r="H20">
        <f>IF(AND(F20&gt;=0,F19&lt;0),(A20-1)+IF(D20&lt;=0,0,-F19/D20),"")</f>
        <v/>
      </c>
    </row>
    <row r="21">
      <c r="A21">
        <f>A20+1</f>
        <v/>
      </c>
      <c r="B21">
        <f>IF(AdoptionRamp&lt;=0,1,MIN(1,A21/AdoptionRamp))</f>
        <v/>
      </c>
      <c r="C21">
        <f>Model!$B$8*B21</f>
        <v/>
      </c>
      <c r="D21">
        <f>C21*Model!$B$7-MonthlyRunCost</f>
        <v/>
      </c>
      <c r="E21">
        <f>D21/(1+Model!$B$11)^A21</f>
        <v/>
      </c>
      <c r="F21">
        <f>F20+D21</f>
        <v/>
      </c>
      <c r="H21">
        <f>IF(AND(F21&gt;=0,F20&lt;0),(A21-1)+IF(D21&lt;=0,0,-F20/D21),"")</f>
        <v/>
      </c>
    </row>
    <row r="22">
      <c r="A22">
        <f>A21+1</f>
        <v/>
      </c>
      <c r="B22">
        <f>IF(AdoptionRamp&lt;=0,1,MIN(1,A22/AdoptionRamp))</f>
        <v/>
      </c>
      <c r="C22">
        <f>Model!$B$8*B22</f>
        <v/>
      </c>
      <c r="D22">
        <f>C22*Model!$B$7-MonthlyRunCost</f>
        <v/>
      </c>
      <c r="E22">
        <f>D22/(1+Model!$B$11)^A22</f>
        <v/>
      </c>
      <c r="F22">
        <f>F21+D22</f>
        <v/>
      </c>
      <c r="H22">
        <f>IF(AND(F22&gt;=0,F21&lt;0),(A22-1)+IF(D22&lt;=0,0,-F21/D22),"")</f>
        <v/>
      </c>
    </row>
    <row r="23">
      <c r="A23">
        <f>A22+1</f>
        <v/>
      </c>
      <c r="B23">
        <f>IF(AdoptionRamp&lt;=0,1,MIN(1,A23/AdoptionRamp))</f>
        <v/>
      </c>
      <c r="C23">
        <f>Model!$B$8*B23</f>
        <v/>
      </c>
      <c r="D23">
        <f>C23*Model!$B$7-MonthlyRunCost</f>
        <v/>
      </c>
      <c r="E23">
        <f>D23/(1+Model!$B$11)^A23</f>
        <v/>
      </c>
      <c r="F23">
        <f>F22+D23</f>
        <v/>
      </c>
      <c r="H23">
        <f>IF(AND(F23&gt;=0,F22&lt;0),(A23-1)+IF(D23&lt;=0,0,-F22/D23),"")</f>
        <v/>
      </c>
    </row>
    <row r="24">
      <c r="A24">
        <f>A23+1</f>
        <v/>
      </c>
      <c r="B24">
        <f>IF(AdoptionRamp&lt;=0,1,MIN(1,A24/AdoptionRamp))</f>
        <v/>
      </c>
      <c r="C24">
        <f>Model!$B$8*B24</f>
        <v/>
      </c>
      <c r="D24">
        <f>C24*Model!$B$7-MonthlyRunCost</f>
        <v/>
      </c>
      <c r="E24">
        <f>D24/(1+Model!$B$11)^A24</f>
        <v/>
      </c>
      <c r="F24">
        <f>F23+D24</f>
        <v/>
      </c>
      <c r="H24">
        <f>IF(AND(F24&gt;=0,F23&lt;0),(A24-1)+IF(D24&lt;=0,0,-F23/D24),"")</f>
        <v/>
      </c>
    </row>
    <row r="25">
      <c r="A25">
        <f>A24+1</f>
        <v/>
      </c>
      <c r="B25">
        <f>IF(AdoptionRamp&lt;=0,1,MIN(1,A25/AdoptionRamp))</f>
        <v/>
      </c>
      <c r="C25">
        <f>Model!$B$8*B25</f>
        <v/>
      </c>
      <c r="D25">
        <f>C25*Model!$B$7-MonthlyRunCost</f>
        <v/>
      </c>
      <c r="E25">
        <f>D25/(1+Model!$B$11)^A25</f>
        <v/>
      </c>
      <c r="F25">
        <f>F24+D25</f>
        <v/>
      </c>
      <c r="H25">
        <f>IF(AND(F25&gt;=0,F24&lt;0),(A25-1)+IF(D25&lt;=0,0,-F24/D25),"")</f>
        <v/>
      </c>
    </row>
    <row r="26">
      <c r="A26">
        <f>A25+1</f>
        <v/>
      </c>
      <c r="B26">
        <f>IF(AdoptionRamp&lt;=0,1,MIN(1,A26/AdoptionRamp))</f>
        <v/>
      </c>
      <c r="C26">
        <f>Model!$B$8*B26</f>
        <v/>
      </c>
      <c r="D26">
        <f>C26*Model!$B$7-MonthlyRunCost</f>
        <v/>
      </c>
      <c r="E26">
        <f>D26/(1+Model!$B$11)^A26</f>
        <v/>
      </c>
      <c r="F26">
        <f>F25+D26</f>
        <v/>
      </c>
      <c r="H26">
        <f>IF(AND(F26&gt;=0,F25&lt;0),(A26-1)+IF(D26&lt;=0,0,-F25/D26),"")</f>
        <v/>
      </c>
    </row>
    <row r="27">
      <c r="A27">
        <f>A26+1</f>
        <v/>
      </c>
      <c r="B27">
        <f>IF(AdoptionRamp&lt;=0,1,MIN(1,A27/AdoptionRamp))</f>
        <v/>
      </c>
      <c r="C27">
        <f>Model!$B$8*B27</f>
        <v/>
      </c>
      <c r="D27">
        <f>C27*Model!$B$7-MonthlyRunCost</f>
        <v/>
      </c>
      <c r="E27">
        <f>D27/(1+Model!$B$11)^A27</f>
        <v/>
      </c>
      <c r="F27">
        <f>F26+D27</f>
        <v/>
      </c>
      <c r="H27">
        <f>IF(AND(F27&gt;=0,F26&lt;0),(A27-1)+IF(D27&lt;=0,0,-F26/D27),"")</f>
        <v/>
      </c>
    </row>
    <row r="28">
      <c r="A28">
        <f>A27+1</f>
        <v/>
      </c>
      <c r="B28">
        <f>IF(AdoptionRamp&lt;=0,1,MIN(1,A28/AdoptionRamp))</f>
        <v/>
      </c>
      <c r="C28">
        <f>Model!$B$8*B28</f>
        <v/>
      </c>
      <c r="D28">
        <f>C28*Model!$B$7-MonthlyRunCost</f>
        <v/>
      </c>
      <c r="E28">
        <f>D28/(1+Model!$B$11)^A28</f>
        <v/>
      </c>
      <c r="F28">
        <f>F27+D28</f>
        <v/>
      </c>
      <c r="H28">
        <f>IF(AND(F28&gt;=0,F27&lt;0),(A28-1)+IF(D28&lt;=0,0,-F27/D28),"")</f>
        <v/>
      </c>
    </row>
    <row r="29">
      <c r="A29">
        <f>A28+1</f>
        <v/>
      </c>
      <c r="B29">
        <f>IF(AdoptionRamp&lt;=0,1,MIN(1,A29/AdoptionRamp))</f>
        <v/>
      </c>
      <c r="C29">
        <f>Model!$B$8*B29</f>
        <v/>
      </c>
      <c r="D29">
        <f>C29*Model!$B$7-MonthlyRunCost</f>
        <v/>
      </c>
      <c r="E29">
        <f>D29/(1+Model!$B$11)^A29</f>
        <v/>
      </c>
      <c r="F29">
        <f>F28+D29</f>
        <v/>
      </c>
      <c r="H29">
        <f>IF(AND(F29&gt;=0,F28&lt;0),(A29-1)+IF(D29&lt;=0,0,-F28/D29),"")</f>
        <v/>
      </c>
    </row>
    <row r="30">
      <c r="A30">
        <f>A29+1</f>
        <v/>
      </c>
      <c r="B30">
        <f>IF(AdoptionRamp&lt;=0,1,MIN(1,A30/AdoptionRamp))</f>
        <v/>
      </c>
      <c r="C30">
        <f>Model!$B$8*B30</f>
        <v/>
      </c>
      <c r="D30">
        <f>C30*Model!$B$7-MonthlyRunCost</f>
        <v/>
      </c>
      <c r="E30">
        <f>D30/(1+Model!$B$11)^A30</f>
        <v/>
      </c>
      <c r="F30">
        <f>F29+D30</f>
        <v/>
      </c>
      <c r="H30">
        <f>IF(AND(F30&gt;=0,F29&lt;0),(A30-1)+IF(D30&lt;=0,0,-F29/D30),"")</f>
        <v/>
      </c>
    </row>
    <row r="31">
      <c r="A31">
        <f>A30+1</f>
        <v/>
      </c>
      <c r="B31">
        <f>IF(AdoptionRamp&lt;=0,1,MIN(1,A31/AdoptionRamp))</f>
        <v/>
      </c>
      <c r="C31">
        <f>Model!$B$8*B31</f>
        <v/>
      </c>
      <c r="D31">
        <f>C31*Model!$B$7-MonthlyRunCost</f>
        <v/>
      </c>
      <c r="E31">
        <f>D31/(1+Model!$B$11)^A31</f>
        <v/>
      </c>
      <c r="F31">
        <f>F30+D31</f>
        <v/>
      </c>
      <c r="H31">
        <f>IF(AND(F31&gt;=0,F30&lt;0),(A31-1)+IF(D31&lt;=0,0,-F30/D31),"")</f>
        <v/>
      </c>
    </row>
    <row r="32">
      <c r="A32">
        <f>A31+1</f>
        <v/>
      </c>
      <c r="B32">
        <f>IF(AdoptionRamp&lt;=0,1,MIN(1,A32/AdoptionRamp))</f>
        <v/>
      </c>
      <c r="C32">
        <f>Model!$B$8*B32</f>
        <v/>
      </c>
      <c r="D32">
        <f>C32*Model!$B$7-MonthlyRunCost</f>
        <v/>
      </c>
      <c r="E32">
        <f>D32/(1+Model!$B$11)^A32</f>
        <v/>
      </c>
      <c r="F32">
        <f>F31+D32</f>
        <v/>
      </c>
      <c r="H32">
        <f>IF(AND(F32&gt;=0,F31&lt;0),(A32-1)+IF(D32&lt;=0,0,-F31/D32),"")</f>
        <v/>
      </c>
    </row>
    <row r="33">
      <c r="A33">
        <f>A32+1</f>
        <v/>
      </c>
      <c r="B33">
        <f>IF(AdoptionRamp&lt;=0,1,MIN(1,A33/AdoptionRamp))</f>
        <v/>
      </c>
      <c r="C33">
        <f>Model!$B$8*B33</f>
        <v/>
      </c>
      <c r="D33">
        <f>C33*Model!$B$7-MonthlyRunCost</f>
        <v/>
      </c>
      <c r="E33">
        <f>D33/(1+Model!$B$11)^A33</f>
        <v/>
      </c>
      <c r="F33">
        <f>F32+D33</f>
        <v/>
      </c>
      <c r="H33">
        <f>IF(AND(F33&gt;=0,F32&lt;0),(A33-1)+IF(D33&lt;=0,0,-F32/D33),"")</f>
        <v/>
      </c>
    </row>
    <row r="34">
      <c r="A34">
        <f>A33+1</f>
        <v/>
      </c>
      <c r="B34">
        <f>IF(AdoptionRamp&lt;=0,1,MIN(1,A34/AdoptionRamp))</f>
        <v/>
      </c>
      <c r="C34">
        <f>Model!$B$8*B34</f>
        <v/>
      </c>
      <c r="D34">
        <f>C34*Model!$B$7-MonthlyRunCost</f>
        <v/>
      </c>
      <c r="E34">
        <f>D34/(1+Model!$B$11)^A34</f>
        <v/>
      </c>
      <c r="F34">
        <f>F33+D34</f>
        <v/>
      </c>
      <c r="H34">
        <f>IF(AND(F34&gt;=0,F33&lt;0),(A34-1)+IF(D34&lt;=0,0,-F33/D34),"")</f>
        <v/>
      </c>
    </row>
    <row r="35">
      <c r="A35">
        <f>A34+1</f>
        <v/>
      </c>
      <c r="B35">
        <f>IF(AdoptionRamp&lt;=0,1,MIN(1,A35/AdoptionRamp))</f>
        <v/>
      </c>
      <c r="C35">
        <f>Model!$B$8*B35</f>
        <v/>
      </c>
      <c r="D35">
        <f>C35*Model!$B$7-MonthlyRunCost</f>
        <v/>
      </c>
      <c r="E35">
        <f>D35/(1+Model!$B$11)^A35</f>
        <v/>
      </c>
      <c r="F35">
        <f>F34+D35</f>
        <v/>
      </c>
      <c r="H35">
        <f>IF(AND(F35&gt;=0,F34&lt;0),(A35-1)+IF(D35&lt;=0,0,-F34/D35),"")</f>
        <v/>
      </c>
    </row>
    <row r="36">
      <c r="A36">
        <f>A35+1</f>
        <v/>
      </c>
      <c r="B36">
        <f>IF(AdoptionRamp&lt;=0,1,MIN(1,A36/AdoptionRamp))</f>
        <v/>
      </c>
      <c r="C36">
        <f>Model!$B$8*B36</f>
        <v/>
      </c>
      <c r="D36">
        <f>C36*Model!$B$7-MonthlyRunCost</f>
        <v/>
      </c>
      <c r="E36">
        <f>D36/(1+Model!$B$11)^A36</f>
        <v/>
      </c>
      <c r="F36">
        <f>F35+D36</f>
        <v/>
      </c>
      <c r="H36">
        <f>IF(AND(F36&gt;=0,F35&lt;0),(A36-1)+IF(D36&lt;=0,0,-F35/D36),"")</f>
        <v/>
      </c>
    </row>
    <row r="37">
      <c r="A37">
        <f>A36+1</f>
        <v/>
      </c>
      <c r="B37">
        <f>IF(AdoptionRamp&lt;=0,1,MIN(1,A37/AdoptionRamp))</f>
        <v/>
      </c>
      <c r="C37">
        <f>Model!$B$8*B37</f>
        <v/>
      </c>
      <c r="D37">
        <f>C37*Model!$B$7-MonthlyRunCost</f>
        <v/>
      </c>
      <c r="E37">
        <f>D37/(1+Model!$B$11)^A37</f>
        <v/>
      </c>
      <c r="F37">
        <f>F36+D37</f>
        <v/>
      </c>
      <c r="H37">
        <f>IF(AND(F37&gt;=0,F36&lt;0),(A37-1)+IF(D37&lt;=0,0,-F36/D37),"")</f>
        <v/>
      </c>
    </row>
    <row r="38">
      <c r="A38">
        <f>A37+1</f>
        <v/>
      </c>
      <c r="B38">
        <f>IF(AdoptionRamp&lt;=0,1,MIN(1,A38/AdoptionRamp))</f>
        <v/>
      </c>
      <c r="C38">
        <f>Model!$B$8*B38</f>
        <v/>
      </c>
      <c r="D38">
        <f>C38*Model!$B$7-MonthlyRunCost</f>
        <v/>
      </c>
      <c r="E38" t="n">
        <v>0</v>
      </c>
      <c r="F38">
        <f>F37+D38</f>
        <v/>
      </c>
      <c r="H38">
        <f>IF(AND(F38&gt;=0,F37&lt;0),(A38-1)+IF(D38&lt;=0,0,-F37/D38),"")</f>
        <v/>
      </c>
    </row>
    <row r="39">
      <c r="A39">
        <f>A38+1</f>
        <v/>
      </c>
      <c r="B39">
        <f>IF(AdoptionRamp&lt;=0,1,MIN(1,A39/AdoptionRamp))</f>
        <v/>
      </c>
      <c r="C39">
        <f>Model!$B$8*B39</f>
        <v/>
      </c>
      <c r="D39">
        <f>C39*Model!$B$7-MonthlyRunCost</f>
        <v/>
      </c>
      <c r="E39" t="n">
        <v>0</v>
      </c>
      <c r="F39">
        <f>F38+D39</f>
        <v/>
      </c>
      <c r="H39">
        <f>IF(AND(F39&gt;=0,F38&lt;0),(A39-1)+IF(D39&lt;=0,0,-F38/D39),"")</f>
        <v/>
      </c>
    </row>
    <row r="40">
      <c r="A40">
        <f>A39+1</f>
        <v/>
      </c>
      <c r="B40">
        <f>IF(AdoptionRamp&lt;=0,1,MIN(1,A40/AdoptionRamp))</f>
        <v/>
      </c>
      <c r="C40">
        <f>Model!$B$8*B40</f>
        <v/>
      </c>
      <c r="D40">
        <f>C40*Model!$B$7-MonthlyRunCost</f>
        <v/>
      </c>
      <c r="E40" t="n">
        <v>0</v>
      </c>
      <c r="F40">
        <f>F39+D40</f>
        <v/>
      </c>
      <c r="H40">
        <f>IF(AND(F40&gt;=0,F39&lt;0),(A40-1)+IF(D40&lt;=0,0,-F39/D40),"")</f>
        <v/>
      </c>
    </row>
    <row r="41">
      <c r="A41">
        <f>A40+1</f>
        <v/>
      </c>
      <c r="B41">
        <f>IF(AdoptionRamp&lt;=0,1,MIN(1,A41/AdoptionRamp))</f>
        <v/>
      </c>
      <c r="C41">
        <f>Model!$B$8*B41</f>
        <v/>
      </c>
      <c r="D41">
        <f>C41*Model!$B$7-MonthlyRunCost</f>
        <v/>
      </c>
      <c r="E41" t="n">
        <v>0</v>
      </c>
      <c r="F41">
        <f>F40+D41</f>
        <v/>
      </c>
      <c r="H41">
        <f>IF(AND(F41&gt;=0,F40&lt;0),(A41-1)+IF(D41&lt;=0,0,-F40/D41),"")</f>
        <v/>
      </c>
    </row>
    <row r="42">
      <c r="A42">
        <f>A41+1</f>
        <v/>
      </c>
      <c r="B42">
        <f>IF(AdoptionRamp&lt;=0,1,MIN(1,A42/AdoptionRamp))</f>
        <v/>
      </c>
      <c r="C42">
        <f>Model!$B$8*B42</f>
        <v/>
      </c>
      <c r="D42">
        <f>C42*Model!$B$7-MonthlyRunCost</f>
        <v/>
      </c>
      <c r="E42" t="n">
        <v>0</v>
      </c>
      <c r="F42">
        <f>F41+D42</f>
        <v/>
      </c>
      <c r="H42">
        <f>IF(AND(F42&gt;=0,F41&lt;0),(A42-1)+IF(D42&lt;=0,0,-F41/D42),"")</f>
        <v/>
      </c>
    </row>
    <row r="43">
      <c r="A43">
        <f>A42+1</f>
        <v/>
      </c>
      <c r="B43">
        <f>IF(AdoptionRamp&lt;=0,1,MIN(1,A43/AdoptionRamp))</f>
        <v/>
      </c>
      <c r="C43">
        <f>Model!$B$8*B43</f>
        <v/>
      </c>
      <c r="D43">
        <f>C43*Model!$B$7-MonthlyRunCost</f>
        <v/>
      </c>
      <c r="E43" t="n">
        <v>0</v>
      </c>
      <c r="F43">
        <f>F42+D43</f>
        <v/>
      </c>
      <c r="H43">
        <f>IF(AND(F43&gt;=0,F42&lt;0),(A43-1)+IF(D43&lt;=0,0,-F42/D43),"")</f>
        <v/>
      </c>
    </row>
    <row r="44">
      <c r="A44">
        <f>A43+1</f>
        <v/>
      </c>
      <c r="B44">
        <f>IF(AdoptionRamp&lt;=0,1,MIN(1,A44/AdoptionRamp))</f>
        <v/>
      </c>
      <c r="C44">
        <f>Model!$B$8*B44</f>
        <v/>
      </c>
      <c r="D44">
        <f>C44*Model!$B$7-MonthlyRunCost</f>
        <v/>
      </c>
      <c r="E44" t="n">
        <v>0</v>
      </c>
      <c r="F44">
        <f>F43+D44</f>
        <v/>
      </c>
      <c r="H44">
        <f>IF(AND(F44&gt;=0,F43&lt;0),(A44-1)+IF(D44&lt;=0,0,-F43/D44),"")</f>
        <v/>
      </c>
    </row>
    <row r="45">
      <c r="A45">
        <f>A44+1</f>
        <v/>
      </c>
      <c r="B45">
        <f>IF(AdoptionRamp&lt;=0,1,MIN(1,A45/AdoptionRamp))</f>
        <v/>
      </c>
      <c r="C45">
        <f>Model!$B$8*B45</f>
        <v/>
      </c>
      <c r="D45">
        <f>C45*Model!$B$7-MonthlyRunCost</f>
        <v/>
      </c>
      <c r="E45" t="n">
        <v>0</v>
      </c>
      <c r="F45">
        <f>F44+D45</f>
        <v/>
      </c>
      <c r="H45">
        <f>IF(AND(F45&gt;=0,F44&lt;0),(A45-1)+IF(D45&lt;=0,0,-F44/D45),"")</f>
        <v/>
      </c>
    </row>
    <row r="46">
      <c r="A46">
        <f>A45+1</f>
        <v/>
      </c>
      <c r="B46">
        <f>IF(AdoptionRamp&lt;=0,1,MIN(1,A46/AdoptionRamp))</f>
        <v/>
      </c>
      <c r="C46">
        <f>Model!$B$8*B46</f>
        <v/>
      </c>
      <c r="D46">
        <f>C46*Model!$B$7-MonthlyRunCost</f>
        <v/>
      </c>
      <c r="E46" t="n">
        <v>0</v>
      </c>
      <c r="F46">
        <f>F45+D46</f>
        <v/>
      </c>
      <c r="H46">
        <f>IF(AND(F46&gt;=0,F45&lt;0),(A46-1)+IF(D46&lt;=0,0,-F45/D46),"")</f>
        <v/>
      </c>
    </row>
    <row r="47">
      <c r="A47">
        <f>A46+1</f>
        <v/>
      </c>
      <c r="B47">
        <f>IF(AdoptionRamp&lt;=0,1,MIN(1,A47/AdoptionRamp))</f>
        <v/>
      </c>
      <c r="C47">
        <f>Model!$B$8*B47</f>
        <v/>
      </c>
      <c r="D47">
        <f>C47*Model!$B$7-MonthlyRunCost</f>
        <v/>
      </c>
      <c r="E47" t="n">
        <v>0</v>
      </c>
      <c r="F47">
        <f>F46+D47</f>
        <v/>
      </c>
      <c r="H47">
        <f>IF(AND(F47&gt;=0,F46&lt;0),(A47-1)+IF(D47&lt;=0,0,-F46/D47),"")</f>
        <v/>
      </c>
    </row>
    <row r="48">
      <c r="A48">
        <f>A47+1</f>
        <v/>
      </c>
      <c r="B48">
        <f>IF(AdoptionRamp&lt;=0,1,MIN(1,A48/AdoptionRamp))</f>
        <v/>
      </c>
      <c r="C48">
        <f>Model!$B$8*B48</f>
        <v/>
      </c>
      <c r="D48">
        <f>C48*Model!$B$7-MonthlyRunCost</f>
        <v/>
      </c>
      <c r="E48" t="n">
        <v>0</v>
      </c>
      <c r="F48">
        <f>F47+D48</f>
        <v/>
      </c>
      <c r="H48">
        <f>IF(AND(F48&gt;=0,F47&lt;0),(A48-1)+IF(D48&lt;=0,0,-F47/D48),"")</f>
        <v/>
      </c>
    </row>
    <row r="49">
      <c r="A49">
        <f>A48+1</f>
        <v/>
      </c>
      <c r="B49">
        <f>IF(AdoptionRamp&lt;=0,1,MIN(1,A49/AdoptionRamp))</f>
        <v/>
      </c>
      <c r="C49">
        <f>Model!$B$8*B49</f>
        <v/>
      </c>
      <c r="D49">
        <f>C49*Model!$B$7-MonthlyRunCost</f>
        <v/>
      </c>
      <c r="E49" t="n">
        <v>0</v>
      </c>
      <c r="F49">
        <f>F48+D49</f>
        <v/>
      </c>
      <c r="H49">
        <f>IF(AND(F49&gt;=0,F48&lt;0),(A49-1)+IF(D49&lt;=0,0,-F48/D49),"")</f>
        <v/>
      </c>
    </row>
    <row r="50">
      <c r="A50">
        <f>A49+1</f>
        <v/>
      </c>
      <c r="B50">
        <f>IF(AdoptionRamp&lt;=0,1,MIN(1,A50/AdoptionRamp))</f>
        <v/>
      </c>
      <c r="C50">
        <f>Model!$B$8*B50</f>
        <v/>
      </c>
      <c r="D50">
        <f>C50*Model!$B$7-MonthlyRunCost</f>
        <v/>
      </c>
      <c r="E50" t="n">
        <v>0</v>
      </c>
      <c r="F50">
        <f>F49+D50</f>
        <v/>
      </c>
      <c r="H50">
        <f>IF(AND(F50&gt;=0,F49&lt;0),(A50-1)+IF(D50&lt;=0,0,-F49/D50),"")</f>
        <v/>
      </c>
    </row>
    <row r="51">
      <c r="A51">
        <f>A50+1</f>
        <v/>
      </c>
      <c r="B51">
        <f>IF(AdoptionRamp&lt;=0,1,MIN(1,A51/AdoptionRamp))</f>
        <v/>
      </c>
      <c r="C51">
        <f>Model!$B$8*B51</f>
        <v/>
      </c>
      <c r="D51">
        <f>C51*Model!$B$7-MonthlyRunCost</f>
        <v/>
      </c>
      <c r="E51" t="n">
        <v>0</v>
      </c>
      <c r="F51">
        <f>F50+D51</f>
        <v/>
      </c>
      <c r="H51">
        <f>IF(AND(F51&gt;=0,F50&lt;0),(A51-1)+IF(D51&lt;=0,0,-F50/D51),"")</f>
        <v/>
      </c>
    </row>
    <row r="52">
      <c r="A52">
        <f>A51+1</f>
        <v/>
      </c>
      <c r="B52">
        <f>IF(AdoptionRamp&lt;=0,1,MIN(1,A52/AdoptionRamp))</f>
        <v/>
      </c>
      <c r="C52">
        <f>Model!$B$8*B52</f>
        <v/>
      </c>
      <c r="D52">
        <f>C52*Model!$B$7-MonthlyRunCost</f>
        <v/>
      </c>
      <c r="E52" t="n">
        <v>0</v>
      </c>
      <c r="F52">
        <f>F51+D52</f>
        <v/>
      </c>
      <c r="H52">
        <f>IF(AND(F52&gt;=0,F51&lt;0),(A52-1)+IF(D52&lt;=0,0,-F51/D52),"")</f>
        <v/>
      </c>
    </row>
    <row r="53">
      <c r="A53">
        <f>A52+1</f>
        <v/>
      </c>
      <c r="B53">
        <f>IF(AdoptionRamp&lt;=0,1,MIN(1,A53/AdoptionRamp))</f>
        <v/>
      </c>
      <c r="C53">
        <f>Model!$B$8*B53</f>
        <v/>
      </c>
      <c r="D53">
        <f>C53*Model!$B$7-MonthlyRunCost</f>
        <v/>
      </c>
      <c r="E53" t="n">
        <v>0</v>
      </c>
      <c r="F53">
        <f>F52+D53</f>
        <v/>
      </c>
      <c r="H53">
        <f>IF(AND(F53&gt;=0,F52&lt;0),(A53-1)+IF(D53&lt;=0,0,-F52/D53),"")</f>
        <v/>
      </c>
    </row>
    <row r="54">
      <c r="A54">
        <f>A53+1</f>
        <v/>
      </c>
      <c r="B54">
        <f>IF(AdoptionRamp&lt;=0,1,MIN(1,A54/AdoptionRamp))</f>
        <v/>
      </c>
      <c r="C54">
        <f>Model!$B$8*B54</f>
        <v/>
      </c>
      <c r="D54">
        <f>C54*Model!$B$7-MonthlyRunCost</f>
        <v/>
      </c>
      <c r="E54" t="n">
        <v>0</v>
      </c>
      <c r="F54">
        <f>F53+D54</f>
        <v/>
      </c>
      <c r="H54">
        <f>IF(AND(F54&gt;=0,F53&lt;0),(A54-1)+IF(D54&lt;=0,0,-F53/D54),"")</f>
        <v/>
      </c>
    </row>
    <row r="55">
      <c r="A55">
        <f>A54+1</f>
        <v/>
      </c>
      <c r="B55">
        <f>IF(AdoptionRamp&lt;=0,1,MIN(1,A55/AdoptionRamp))</f>
        <v/>
      </c>
      <c r="C55">
        <f>Model!$B$8*B55</f>
        <v/>
      </c>
      <c r="D55">
        <f>C55*Model!$B$7-MonthlyRunCost</f>
        <v/>
      </c>
      <c r="E55" t="n">
        <v>0</v>
      </c>
      <c r="F55">
        <f>F54+D55</f>
        <v/>
      </c>
      <c r="H55">
        <f>IF(AND(F55&gt;=0,F54&lt;0),(A55-1)+IF(D55&lt;=0,0,-F54/D55),"")</f>
        <v/>
      </c>
    </row>
    <row r="56">
      <c r="A56">
        <f>A55+1</f>
        <v/>
      </c>
      <c r="B56">
        <f>IF(AdoptionRamp&lt;=0,1,MIN(1,A56/AdoptionRamp))</f>
        <v/>
      </c>
      <c r="C56">
        <f>Model!$B$8*B56</f>
        <v/>
      </c>
      <c r="D56">
        <f>C56*Model!$B$7-MonthlyRunCost</f>
        <v/>
      </c>
      <c r="E56" t="n">
        <v>0</v>
      </c>
      <c r="F56">
        <f>F55+D56</f>
        <v/>
      </c>
      <c r="H56">
        <f>IF(AND(F56&gt;=0,F55&lt;0),(A56-1)+IF(D56&lt;=0,0,-F55/D56),"")</f>
        <v/>
      </c>
    </row>
    <row r="57">
      <c r="A57">
        <f>A56+1</f>
        <v/>
      </c>
      <c r="B57">
        <f>IF(AdoptionRamp&lt;=0,1,MIN(1,A57/AdoptionRamp))</f>
        <v/>
      </c>
      <c r="C57">
        <f>Model!$B$8*B57</f>
        <v/>
      </c>
      <c r="D57">
        <f>C57*Model!$B$7-MonthlyRunCost</f>
        <v/>
      </c>
      <c r="E57" t="n">
        <v>0</v>
      </c>
      <c r="F57">
        <f>F56+D57</f>
        <v/>
      </c>
      <c r="H57">
        <f>IF(AND(F57&gt;=0,F56&lt;0),(A57-1)+IF(D57&lt;=0,0,-F56/D57),"")</f>
        <v/>
      </c>
    </row>
    <row r="58">
      <c r="A58">
        <f>A57+1</f>
        <v/>
      </c>
      <c r="B58">
        <f>IF(AdoptionRamp&lt;=0,1,MIN(1,A58/AdoptionRamp))</f>
        <v/>
      </c>
      <c r="C58">
        <f>Model!$B$8*B58</f>
        <v/>
      </c>
      <c r="D58">
        <f>C58*Model!$B$7-MonthlyRunCost</f>
        <v/>
      </c>
      <c r="E58" t="n">
        <v>0</v>
      </c>
      <c r="F58">
        <f>F57+D58</f>
        <v/>
      </c>
      <c r="H58">
        <f>IF(AND(F58&gt;=0,F57&lt;0),(A58-1)+IF(D58&lt;=0,0,-F57/D58),"")</f>
        <v/>
      </c>
    </row>
    <row r="59">
      <c r="A59">
        <f>A58+1</f>
        <v/>
      </c>
      <c r="B59">
        <f>IF(AdoptionRamp&lt;=0,1,MIN(1,A59/AdoptionRamp))</f>
        <v/>
      </c>
      <c r="C59">
        <f>Model!$B$8*B59</f>
        <v/>
      </c>
      <c r="D59">
        <f>C59*Model!$B$7-MonthlyRunCost</f>
        <v/>
      </c>
      <c r="E59" t="n">
        <v>0</v>
      </c>
      <c r="F59">
        <f>F58+D59</f>
        <v/>
      </c>
      <c r="H59">
        <f>IF(AND(F59&gt;=0,F58&lt;0),(A59-1)+IF(D59&lt;=0,0,-F58/D59),"")</f>
        <v/>
      </c>
    </row>
    <row r="60">
      <c r="A60">
        <f>A59+1</f>
        <v/>
      </c>
      <c r="B60">
        <f>IF(AdoptionRamp&lt;=0,1,MIN(1,A60/AdoptionRamp))</f>
        <v/>
      </c>
      <c r="C60">
        <f>Model!$B$8*B60</f>
        <v/>
      </c>
      <c r="D60">
        <f>C60*Model!$B$7-MonthlyRunCost</f>
        <v/>
      </c>
      <c r="E60" t="n">
        <v>0</v>
      </c>
      <c r="F60">
        <f>F59+D60</f>
        <v/>
      </c>
      <c r="H60">
        <f>IF(AND(F60&gt;=0,F59&lt;0),(A60-1)+IF(D60&lt;=0,0,-F59/D60),"")</f>
        <v/>
      </c>
    </row>
    <row r="61">
      <c r="A61">
        <f>A60+1</f>
        <v/>
      </c>
      <c r="B61">
        <f>IF(AdoptionRamp&lt;=0,1,MIN(1,A61/AdoptionRamp))</f>
        <v/>
      </c>
      <c r="C61">
        <f>Model!$B$8*B61</f>
        <v/>
      </c>
      <c r="D61">
        <f>C61*Model!$B$7-MonthlyRunCost</f>
        <v/>
      </c>
      <c r="E61" t="n">
        <v>0</v>
      </c>
      <c r="F61">
        <f>F60+D61</f>
        <v/>
      </c>
      <c r="H61">
        <f>IF(AND(F61&gt;=0,F60&lt;0),(A61-1)+IF(D61&lt;=0,0,-F60/D61),"")</f>
        <v/>
      </c>
    </row>
    <row r="62">
      <c r="A62">
        <f>A61+1</f>
        <v/>
      </c>
      <c r="B62">
        <f>IF(AdoptionRamp&lt;=0,1,MIN(1,A62/AdoptionRamp))</f>
        <v/>
      </c>
      <c r="C62">
        <f>Model!$B$8*B62</f>
        <v/>
      </c>
      <c r="D62">
        <f>C62*Model!$B$7-MonthlyRunCost</f>
        <v/>
      </c>
      <c r="E62" t="n">
        <v>0</v>
      </c>
      <c r="F62">
        <f>F61+D62</f>
        <v/>
      </c>
      <c r="H62">
        <f>IF(AND(F62&gt;=0,F61&lt;0),(A62-1)+IF(D62&lt;=0,0,-F61/D62),"")</f>
        <v/>
      </c>
    </row>
    <row r="63">
      <c r="A63">
        <f>A62+1</f>
        <v/>
      </c>
      <c r="B63">
        <f>IF(AdoptionRamp&lt;=0,1,MIN(1,A63/AdoptionRamp))</f>
        <v/>
      </c>
      <c r="C63">
        <f>Model!$B$8*B63</f>
        <v/>
      </c>
      <c r="D63">
        <f>C63*Model!$B$7-MonthlyRunCost</f>
        <v/>
      </c>
      <c r="E63" t="n">
        <v>0</v>
      </c>
      <c r="F63">
        <f>F62+D63</f>
        <v/>
      </c>
      <c r="H63">
        <f>IF(AND(F63&gt;=0,F62&lt;0),(A63-1)+IF(D63&lt;=0,0,-F62/D63),"")</f>
        <v/>
      </c>
    </row>
    <row r="64">
      <c r="A64">
        <f>A63+1</f>
        <v/>
      </c>
      <c r="B64">
        <f>IF(AdoptionRamp&lt;=0,1,MIN(1,A64/AdoptionRamp))</f>
        <v/>
      </c>
      <c r="C64">
        <f>Model!$B$8*B64</f>
        <v/>
      </c>
      <c r="D64">
        <f>C64*Model!$B$7-MonthlyRunCost</f>
        <v/>
      </c>
      <c r="E64" t="n">
        <v>0</v>
      </c>
      <c r="F64">
        <f>F63+D64</f>
        <v/>
      </c>
      <c r="H64">
        <f>IF(AND(F64&gt;=0,F63&lt;0),(A64-1)+IF(D64&lt;=0,0,-F63/D64),"")</f>
        <v/>
      </c>
    </row>
    <row r="65">
      <c r="A65">
        <f>A64+1</f>
        <v/>
      </c>
      <c r="B65">
        <f>IF(AdoptionRamp&lt;=0,1,MIN(1,A65/AdoptionRamp))</f>
        <v/>
      </c>
      <c r="C65">
        <f>Model!$B$8*B65</f>
        <v/>
      </c>
      <c r="D65">
        <f>C65*Model!$B$7-MonthlyRunCost</f>
        <v/>
      </c>
      <c r="E65" t="n">
        <v>0</v>
      </c>
      <c r="F65">
        <f>F64+D65</f>
        <v/>
      </c>
      <c r="H65">
        <f>IF(AND(F65&gt;=0,F64&lt;0),(A65-1)+IF(D65&lt;=0,0,-F64/D65),"")</f>
        <v/>
      </c>
    </row>
    <row r="66">
      <c r="A66">
        <f>A65+1</f>
        <v/>
      </c>
      <c r="B66">
        <f>IF(AdoptionRamp&lt;=0,1,MIN(1,A66/AdoptionRamp))</f>
        <v/>
      </c>
      <c r="C66">
        <f>Model!$B$8*B66</f>
        <v/>
      </c>
      <c r="D66">
        <f>C66*Model!$B$7-MonthlyRunCost</f>
        <v/>
      </c>
      <c r="E66" t="n">
        <v>0</v>
      </c>
      <c r="F66">
        <f>F65+D66</f>
        <v/>
      </c>
      <c r="H66">
        <f>IF(AND(F66&gt;=0,F65&lt;0),(A66-1)+IF(D66&lt;=0,0,-F65/D66),"")</f>
        <v/>
      </c>
    </row>
    <row r="67">
      <c r="A67">
        <f>A66+1</f>
        <v/>
      </c>
      <c r="B67">
        <f>IF(AdoptionRamp&lt;=0,1,MIN(1,A67/AdoptionRamp))</f>
        <v/>
      </c>
      <c r="C67">
        <f>Model!$B$8*B67</f>
        <v/>
      </c>
      <c r="D67">
        <f>C67*Model!$B$7-MonthlyRunCost</f>
        <v/>
      </c>
      <c r="E67" t="n">
        <v>0</v>
      </c>
      <c r="F67">
        <f>F66+D67</f>
        <v/>
      </c>
      <c r="H67">
        <f>IF(AND(F67&gt;=0,F66&lt;0),(A67-1)+IF(D67&lt;=0,0,-F66/D67),"")</f>
        <v/>
      </c>
    </row>
    <row r="68">
      <c r="A68">
        <f>A67+1</f>
        <v/>
      </c>
      <c r="B68">
        <f>IF(AdoptionRamp&lt;=0,1,MIN(1,A68/AdoptionRamp))</f>
        <v/>
      </c>
      <c r="C68">
        <f>Model!$B$8*B68</f>
        <v/>
      </c>
      <c r="D68">
        <f>C68*Model!$B$7-MonthlyRunCost</f>
        <v/>
      </c>
      <c r="E68" t="n">
        <v>0</v>
      </c>
      <c r="F68">
        <f>F67+D68</f>
        <v/>
      </c>
      <c r="H68">
        <f>IF(AND(F68&gt;=0,F67&lt;0),(A68-1)+IF(D68&lt;=0,0,-F67/D68),"")</f>
        <v/>
      </c>
    </row>
    <row r="69">
      <c r="A69">
        <f>A68+1</f>
        <v/>
      </c>
      <c r="B69">
        <f>IF(AdoptionRamp&lt;=0,1,MIN(1,A69/AdoptionRamp))</f>
        <v/>
      </c>
      <c r="C69">
        <f>Model!$B$8*B69</f>
        <v/>
      </c>
      <c r="D69">
        <f>C69*Model!$B$7-MonthlyRunCost</f>
        <v/>
      </c>
      <c r="E69" t="n">
        <v>0</v>
      </c>
      <c r="F69">
        <f>F68+D69</f>
        <v/>
      </c>
      <c r="H69">
        <f>IF(AND(F69&gt;=0,F68&lt;0),(A69-1)+IF(D69&lt;=0,0,-F68/D69),"")</f>
        <v/>
      </c>
    </row>
    <row r="70">
      <c r="A70">
        <f>A69+1</f>
        <v/>
      </c>
      <c r="B70">
        <f>IF(AdoptionRamp&lt;=0,1,MIN(1,A70/AdoptionRamp))</f>
        <v/>
      </c>
      <c r="C70">
        <f>Model!$B$8*B70</f>
        <v/>
      </c>
      <c r="D70">
        <f>C70*Model!$B$7-MonthlyRunCost</f>
        <v/>
      </c>
      <c r="E70" t="n">
        <v>0</v>
      </c>
      <c r="F70">
        <f>F69+D70</f>
        <v/>
      </c>
      <c r="H70">
        <f>IF(AND(F70&gt;=0,F69&lt;0),(A70-1)+IF(D70&lt;=0,0,-F69/D70),"")</f>
        <v/>
      </c>
    </row>
    <row r="71">
      <c r="A71">
        <f>A70+1</f>
        <v/>
      </c>
      <c r="B71">
        <f>IF(AdoptionRamp&lt;=0,1,MIN(1,A71/AdoptionRamp))</f>
        <v/>
      </c>
      <c r="C71">
        <f>Model!$B$8*B71</f>
        <v/>
      </c>
      <c r="D71">
        <f>C71*Model!$B$7-MonthlyRunCost</f>
        <v/>
      </c>
      <c r="E71" t="n">
        <v>0</v>
      </c>
      <c r="F71">
        <f>F70+D71</f>
        <v/>
      </c>
      <c r="H71">
        <f>IF(AND(F71&gt;=0,F70&lt;0),(A71-1)+IF(D71&lt;=0,0,-F70/D71),"")</f>
        <v/>
      </c>
    </row>
    <row r="72">
      <c r="A72">
        <f>A71+1</f>
        <v/>
      </c>
      <c r="B72">
        <f>IF(AdoptionRamp&lt;=0,1,MIN(1,A72/AdoptionRamp))</f>
        <v/>
      </c>
      <c r="C72">
        <f>Model!$B$8*B72</f>
        <v/>
      </c>
      <c r="D72">
        <f>C72*Model!$B$7-MonthlyRunCost</f>
        <v/>
      </c>
      <c r="E72" t="n">
        <v>0</v>
      </c>
      <c r="F72">
        <f>F71+D72</f>
        <v/>
      </c>
      <c r="H72">
        <f>IF(AND(F72&gt;=0,F71&lt;0),(A72-1)+IF(D72&lt;=0,0,-F71/D72),"")</f>
        <v/>
      </c>
    </row>
    <row r="73">
      <c r="A73">
        <f>A72+1</f>
        <v/>
      </c>
      <c r="B73">
        <f>IF(AdoptionRamp&lt;=0,1,MIN(1,A73/AdoptionRamp))</f>
        <v/>
      </c>
      <c r="C73">
        <f>Model!$B$8*B73</f>
        <v/>
      </c>
      <c r="D73">
        <f>C73*Model!$B$7-MonthlyRunCost</f>
        <v/>
      </c>
      <c r="E73" t="n">
        <v>0</v>
      </c>
      <c r="F73">
        <f>F72+D73</f>
        <v/>
      </c>
      <c r="H73">
        <f>IF(AND(F73&gt;=0,F72&lt;0),(A73-1)+IF(D73&lt;=0,0,-F72/D73),"")</f>
        <v/>
      </c>
    </row>
    <row r="74">
      <c r="A74">
        <f>A73+1</f>
        <v/>
      </c>
      <c r="B74">
        <f>IF(AdoptionRamp&lt;=0,1,MIN(1,A74/AdoptionRamp))</f>
        <v/>
      </c>
      <c r="C74">
        <f>Model!$B$8*B74</f>
        <v/>
      </c>
      <c r="D74">
        <f>C74*Model!$B$7-MonthlyRunCost</f>
        <v/>
      </c>
      <c r="E74" t="n">
        <v>0</v>
      </c>
      <c r="F74">
        <f>F73+D74</f>
        <v/>
      </c>
      <c r="H74">
        <f>IF(AND(F74&gt;=0,F73&lt;0),(A74-1)+IF(D74&lt;=0,0,-F73/D74),"")</f>
        <v/>
      </c>
    </row>
    <row r="75">
      <c r="A75">
        <f>A74+1</f>
        <v/>
      </c>
      <c r="B75">
        <f>IF(AdoptionRamp&lt;=0,1,MIN(1,A75/AdoptionRamp))</f>
        <v/>
      </c>
      <c r="C75">
        <f>Model!$B$8*B75</f>
        <v/>
      </c>
      <c r="D75">
        <f>C75*Model!$B$7-MonthlyRunCost</f>
        <v/>
      </c>
      <c r="E75" t="n">
        <v>0</v>
      </c>
      <c r="F75">
        <f>F74+D75</f>
        <v/>
      </c>
      <c r="H75">
        <f>IF(AND(F75&gt;=0,F74&lt;0),(A75-1)+IF(D75&lt;=0,0,-F74/D75),"")</f>
        <v/>
      </c>
    </row>
    <row r="76">
      <c r="A76">
        <f>A75+1</f>
        <v/>
      </c>
      <c r="B76">
        <f>IF(AdoptionRamp&lt;=0,1,MIN(1,A76/AdoptionRamp))</f>
        <v/>
      </c>
      <c r="C76">
        <f>Model!$B$8*B76</f>
        <v/>
      </c>
      <c r="D76">
        <f>C76*Model!$B$7-MonthlyRunCost</f>
        <v/>
      </c>
      <c r="E76" t="n">
        <v>0</v>
      </c>
      <c r="F76">
        <f>F75+D76</f>
        <v/>
      </c>
      <c r="H76">
        <f>IF(AND(F76&gt;=0,F75&lt;0),(A76-1)+IF(D76&lt;=0,0,-F75/D76),"")</f>
        <v/>
      </c>
    </row>
    <row r="77">
      <c r="A77">
        <f>A76+1</f>
        <v/>
      </c>
      <c r="B77">
        <f>IF(AdoptionRamp&lt;=0,1,MIN(1,A77/AdoptionRamp))</f>
        <v/>
      </c>
      <c r="C77">
        <f>Model!$B$8*B77</f>
        <v/>
      </c>
      <c r="D77">
        <f>C77*Model!$B$7-MonthlyRunCost</f>
        <v/>
      </c>
      <c r="E77" t="n">
        <v>0</v>
      </c>
      <c r="F77">
        <f>F76+D77</f>
        <v/>
      </c>
      <c r="H77">
        <f>IF(AND(F77&gt;=0,F76&lt;0),(A77-1)+IF(D77&lt;=0,0,-F76/D77),"")</f>
        <v/>
      </c>
    </row>
    <row r="78">
      <c r="A78">
        <f>A77+1</f>
        <v/>
      </c>
      <c r="B78">
        <f>IF(AdoptionRamp&lt;=0,1,MIN(1,A78/AdoptionRamp))</f>
        <v/>
      </c>
      <c r="C78">
        <f>Model!$B$8*B78</f>
        <v/>
      </c>
      <c r="D78">
        <f>C78*Model!$B$7-MonthlyRunCost</f>
        <v/>
      </c>
      <c r="E78" t="n">
        <v>0</v>
      </c>
      <c r="F78">
        <f>F77+D78</f>
        <v/>
      </c>
      <c r="H78">
        <f>IF(AND(F78&gt;=0,F77&lt;0),(A78-1)+IF(D78&lt;=0,0,-F77/D78),"")</f>
        <v/>
      </c>
    </row>
    <row r="79">
      <c r="A79">
        <f>A78+1</f>
        <v/>
      </c>
      <c r="B79">
        <f>IF(AdoptionRamp&lt;=0,1,MIN(1,A79/AdoptionRamp))</f>
        <v/>
      </c>
      <c r="C79">
        <f>Model!$B$8*B79</f>
        <v/>
      </c>
      <c r="D79">
        <f>C79*Model!$B$7-MonthlyRunCost</f>
        <v/>
      </c>
      <c r="E79" t="n">
        <v>0</v>
      </c>
      <c r="F79">
        <f>F78+D79</f>
        <v/>
      </c>
      <c r="H79">
        <f>IF(AND(F79&gt;=0,F78&lt;0),(A79-1)+IF(D79&lt;=0,0,-F78/D79),"")</f>
        <v/>
      </c>
    </row>
    <row r="80">
      <c r="A80">
        <f>A79+1</f>
        <v/>
      </c>
      <c r="B80">
        <f>IF(AdoptionRamp&lt;=0,1,MIN(1,A80/AdoptionRamp))</f>
        <v/>
      </c>
      <c r="C80">
        <f>Model!$B$8*B80</f>
        <v/>
      </c>
      <c r="D80">
        <f>C80*Model!$B$7-MonthlyRunCost</f>
        <v/>
      </c>
      <c r="E80" t="n">
        <v>0</v>
      </c>
      <c r="F80">
        <f>F79+D80</f>
        <v/>
      </c>
      <c r="H80">
        <f>IF(AND(F80&gt;=0,F79&lt;0),(A80-1)+IF(D80&lt;=0,0,-F79/D80),"")</f>
        <v/>
      </c>
    </row>
    <row r="81">
      <c r="A81">
        <f>A80+1</f>
        <v/>
      </c>
      <c r="B81">
        <f>IF(AdoptionRamp&lt;=0,1,MIN(1,A81/AdoptionRamp))</f>
        <v/>
      </c>
      <c r="C81">
        <f>Model!$B$8*B81</f>
        <v/>
      </c>
      <c r="D81">
        <f>C81*Model!$B$7-MonthlyRunCost</f>
        <v/>
      </c>
      <c r="E81" t="n">
        <v>0</v>
      </c>
      <c r="F81">
        <f>F80+D81</f>
        <v/>
      </c>
      <c r="H81">
        <f>IF(AND(F81&gt;=0,F80&lt;0),(A81-1)+IF(D81&lt;=0,0,-F80/D81),"")</f>
        <v/>
      </c>
    </row>
    <row r="82">
      <c r="A82">
        <f>A81+1</f>
        <v/>
      </c>
      <c r="B82">
        <f>IF(AdoptionRamp&lt;=0,1,MIN(1,A82/AdoptionRamp))</f>
        <v/>
      </c>
      <c r="C82">
        <f>Model!$B$8*B82</f>
        <v/>
      </c>
      <c r="D82">
        <f>C82*Model!$B$7-MonthlyRunCost</f>
        <v/>
      </c>
      <c r="E82" t="n">
        <v>0</v>
      </c>
      <c r="F82">
        <f>F81+D82</f>
        <v/>
      </c>
      <c r="H82">
        <f>IF(AND(F82&gt;=0,F81&lt;0),(A82-1)+IF(D82&lt;=0,0,-F81/D82),"")</f>
        <v/>
      </c>
    </row>
    <row r="83">
      <c r="A83">
        <f>A82+1</f>
        <v/>
      </c>
      <c r="B83">
        <f>IF(AdoptionRamp&lt;=0,1,MIN(1,A83/AdoptionRamp))</f>
        <v/>
      </c>
      <c r="C83">
        <f>Model!$B$8*B83</f>
        <v/>
      </c>
      <c r="D83">
        <f>C83*Model!$B$7-MonthlyRunCost</f>
        <v/>
      </c>
      <c r="E83" t="n">
        <v>0</v>
      </c>
      <c r="F83">
        <f>F82+D83</f>
        <v/>
      </c>
      <c r="H83">
        <f>IF(AND(F83&gt;=0,F82&lt;0),(A83-1)+IF(D83&lt;=0,0,-F82/D83),"")</f>
        <v/>
      </c>
    </row>
    <row r="84">
      <c r="A84">
        <f>A83+1</f>
        <v/>
      </c>
      <c r="B84">
        <f>IF(AdoptionRamp&lt;=0,1,MIN(1,A84/AdoptionRamp))</f>
        <v/>
      </c>
      <c r="C84">
        <f>Model!$B$8*B84</f>
        <v/>
      </c>
      <c r="D84">
        <f>C84*Model!$B$7-MonthlyRunCost</f>
        <v/>
      </c>
      <c r="E84" t="n">
        <v>0</v>
      </c>
      <c r="F84">
        <f>F83+D84</f>
        <v/>
      </c>
      <c r="H84">
        <f>IF(AND(F84&gt;=0,F83&lt;0),(A84-1)+IF(D84&lt;=0,0,-F83/D84),"")</f>
        <v/>
      </c>
    </row>
    <row r="85">
      <c r="A85">
        <f>A84+1</f>
        <v/>
      </c>
      <c r="B85">
        <f>IF(AdoptionRamp&lt;=0,1,MIN(1,A85/AdoptionRamp))</f>
        <v/>
      </c>
      <c r="C85">
        <f>Model!$B$8*B85</f>
        <v/>
      </c>
      <c r="D85">
        <f>C85*Model!$B$7-MonthlyRunCost</f>
        <v/>
      </c>
      <c r="E85" t="n">
        <v>0</v>
      </c>
      <c r="F85">
        <f>F84+D85</f>
        <v/>
      </c>
      <c r="H85">
        <f>IF(AND(F85&gt;=0,F84&lt;0),(A85-1)+IF(D85&lt;=0,0,-F84/D85),"")</f>
        <v/>
      </c>
    </row>
    <row r="86">
      <c r="A86">
        <f>A85+1</f>
        <v/>
      </c>
      <c r="B86">
        <f>IF(AdoptionRamp&lt;=0,1,MIN(1,A86/AdoptionRamp))</f>
        <v/>
      </c>
      <c r="C86">
        <f>Model!$B$8*B86</f>
        <v/>
      </c>
      <c r="D86">
        <f>C86*Model!$B$7-MonthlyRunCost</f>
        <v/>
      </c>
      <c r="E86" t="n">
        <v>0</v>
      </c>
      <c r="F86">
        <f>F85+D86</f>
        <v/>
      </c>
      <c r="H86">
        <f>IF(AND(F86&gt;=0,F85&lt;0),(A86-1)+IF(D86&lt;=0,0,-F85/D86),"")</f>
        <v/>
      </c>
    </row>
    <row r="87">
      <c r="A87">
        <f>A86+1</f>
        <v/>
      </c>
      <c r="B87">
        <f>IF(AdoptionRamp&lt;=0,1,MIN(1,A87/AdoptionRamp))</f>
        <v/>
      </c>
      <c r="C87">
        <f>Model!$B$8*B87</f>
        <v/>
      </c>
      <c r="D87">
        <f>C87*Model!$B$7-MonthlyRunCost</f>
        <v/>
      </c>
      <c r="E87" t="n">
        <v>0</v>
      </c>
      <c r="F87">
        <f>F86+D87</f>
        <v/>
      </c>
      <c r="H87">
        <f>IF(AND(F87&gt;=0,F86&lt;0),(A87-1)+IF(D87&lt;=0,0,-F86/D87),"")</f>
        <v/>
      </c>
    </row>
    <row r="88">
      <c r="A88">
        <f>A87+1</f>
        <v/>
      </c>
      <c r="B88">
        <f>IF(AdoptionRamp&lt;=0,1,MIN(1,A88/AdoptionRamp))</f>
        <v/>
      </c>
      <c r="C88">
        <f>Model!$B$8*B88</f>
        <v/>
      </c>
      <c r="D88">
        <f>C88*Model!$B$7-MonthlyRunCost</f>
        <v/>
      </c>
      <c r="E88" t="n">
        <v>0</v>
      </c>
      <c r="F88">
        <f>F87+D88</f>
        <v/>
      </c>
      <c r="H88">
        <f>IF(AND(F88&gt;=0,F87&lt;0),(A88-1)+IF(D88&lt;=0,0,-F87/D88),"")</f>
        <v/>
      </c>
    </row>
    <row r="89">
      <c r="A89">
        <f>A88+1</f>
        <v/>
      </c>
      <c r="B89">
        <f>IF(AdoptionRamp&lt;=0,1,MIN(1,A89/AdoptionRamp))</f>
        <v/>
      </c>
      <c r="C89">
        <f>Model!$B$8*B89</f>
        <v/>
      </c>
      <c r="D89">
        <f>C89*Model!$B$7-MonthlyRunCost</f>
        <v/>
      </c>
      <c r="E89" t="n">
        <v>0</v>
      </c>
      <c r="F89">
        <f>F88+D89</f>
        <v/>
      </c>
      <c r="H89">
        <f>IF(AND(F89&gt;=0,F88&lt;0),(A89-1)+IF(D89&lt;=0,0,-F88/D89),"")</f>
        <v/>
      </c>
    </row>
    <row r="90">
      <c r="A90">
        <f>A89+1</f>
        <v/>
      </c>
      <c r="B90">
        <f>IF(AdoptionRamp&lt;=0,1,MIN(1,A90/AdoptionRamp))</f>
        <v/>
      </c>
      <c r="C90">
        <f>Model!$B$8*B90</f>
        <v/>
      </c>
      <c r="D90">
        <f>C90*Model!$B$7-MonthlyRunCost</f>
        <v/>
      </c>
      <c r="E90" t="n">
        <v>0</v>
      </c>
      <c r="F90">
        <f>F89+D90</f>
        <v/>
      </c>
      <c r="H90">
        <f>IF(AND(F90&gt;=0,F89&lt;0),(A90-1)+IF(D90&lt;=0,0,-F89/D90),"")</f>
        <v/>
      </c>
    </row>
    <row r="91">
      <c r="A91">
        <f>A90+1</f>
        <v/>
      </c>
      <c r="B91">
        <f>IF(AdoptionRamp&lt;=0,1,MIN(1,A91/AdoptionRamp))</f>
        <v/>
      </c>
      <c r="C91">
        <f>Model!$B$8*B91</f>
        <v/>
      </c>
      <c r="D91">
        <f>C91*Model!$B$7-MonthlyRunCost</f>
        <v/>
      </c>
      <c r="E91" t="n">
        <v>0</v>
      </c>
      <c r="F91">
        <f>F90+D91</f>
        <v/>
      </c>
      <c r="H91">
        <f>IF(AND(F91&gt;=0,F90&lt;0),(A91-1)+IF(D91&lt;=0,0,-F90/D91),"")</f>
        <v/>
      </c>
    </row>
    <row r="92">
      <c r="A92">
        <f>A91+1</f>
        <v/>
      </c>
      <c r="B92">
        <f>IF(AdoptionRamp&lt;=0,1,MIN(1,A92/AdoptionRamp))</f>
        <v/>
      </c>
      <c r="C92">
        <f>Model!$B$8*B92</f>
        <v/>
      </c>
      <c r="D92">
        <f>C92*Model!$B$7-MonthlyRunCost</f>
        <v/>
      </c>
      <c r="E92" t="n">
        <v>0</v>
      </c>
      <c r="F92">
        <f>F91+D92</f>
        <v/>
      </c>
      <c r="H92">
        <f>IF(AND(F92&gt;=0,F91&lt;0),(A92-1)+IF(D92&lt;=0,0,-F91/D92),"")</f>
        <v/>
      </c>
    </row>
    <row r="93">
      <c r="A93">
        <f>A92+1</f>
        <v/>
      </c>
      <c r="B93">
        <f>IF(AdoptionRamp&lt;=0,1,MIN(1,A93/AdoptionRamp))</f>
        <v/>
      </c>
      <c r="C93">
        <f>Model!$B$8*B93</f>
        <v/>
      </c>
      <c r="D93">
        <f>C93*Model!$B$7-MonthlyRunCost</f>
        <v/>
      </c>
      <c r="E93" t="n">
        <v>0</v>
      </c>
      <c r="F93">
        <f>F92+D93</f>
        <v/>
      </c>
      <c r="H93">
        <f>IF(AND(F93&gt;=0,F92&lt;0),(A93-1)+IF(D93&lt;=0,0,-F92/D93),"")</f>
        <v/>
      </c>
    </row>
    <row r="94">
      <c r="A94">
        <f>A93+1</f>
        <v/>
      </c>
      <c r="B94">
        <f>IF(AdoptionRamp&lt;=0,1,MIN(1,A94/AdoptionRamp))</f>
        <v/>
      </c>
      <c r="C94">
        <f>Model!$B$8*B94</f>
        <v/>
      </c>
      <c r="D94">
        <f>C94*Model!$B$7-MonthlyRunCost</f>
        <v/>
      </c>
      <c r="E94" t="n">
        <v>0</v>
      </c>
      <c r="F94">
        <f>F93+D94</f>
        <v/>
      </c>
      <c r="H94">
        <f>IF(AND(F94&gt;=0,F93&lt;0),(A94-1)+IF(D94&lt;=0,0,-F93/D94),"")</f>
        <v/>
      </c>
    </row>
    <row r="95">
      <c r="A95">
        <f>A94+1</f>
        <v/>
      </c>
      <c r="B95">
        <f>IF(AdoptionRamp&lt;=0,1,MIN(1,A95/AdoptionRamp))</f>
        <v/>
      </c>
      <c r="C95">
        <f>Model!$B$8*B95</f>
        <v/>
      </c>
      <c r="D95">
        <f>C95*Model!$B$7-MonthlyRunCost</f>
        <v/>
      </c>
      <c r="E95" t="n">
        <v>0</v>
      </c>
      <c r="F95">
        <f>F94+D95</f>
        <v/>
      </c>
      <c r="H95">
        <f>IF(AND(F95&gt;=0,F94&lt;0),(A95-1)+IF(D95&lt;=0,0,-F94/D95),"")</f>
        <v/>
      </c>
    </row>
    <row r="96">
      <c r="A96">
        <f>A95+1</f>
        <v/>
      </c>
      <c r="B96">
        <f>IF(AdoptionRamp&lt;=0,1,MIN(1,A96/AdoptionRamp))</f>
        <v/>
      </c>
      <c r="C96">
        <f>Model!$B$8*B96</f>
        <v/>
      </c>
      <c r="D96">
        <f>C96*Model!$B$7-MonthlyRunCost</f>
        <v/>
      </c>
      <c r="E96" t="n">
        <v>0</v>
      </c>
      <c r="F96">
        <f>F95+D96</f>
        <v/>
      </c>
      <c r="H96">
        <f>IF(AND(F96&gt;=0,F95&lt;0),(A96-1)+IF(D96&lt;=0,0,-F95/D96),"")</f>
        <v/>
      </c>
    </row>
    <row r="97">
      <c r="A97">
        <f>A96+1</f>
        <v/>
      </c>
      <c r="B97">
        <f>IF(AdoptionRamp&lt;=0,1,MIN(1,A97/AdoptionRamp))</f>
        <v/>
      </c>
      <c r="C97">
        <f>Model!$B$8*B97</f>
        <v/>
      </c>
      <c r="D97">
        <f>C97*Model!$B$7-MonthlyRunCost</f>
        <v/>
      </c>
      <c r="E97" t="n">
        <v>0</v>
      </c>
      <c r="F97">
        <f>F96+D97</f>
        <v/>
      </c>
      <c r="H97">
        <f>IF(AND(F97&gt;=0,F96&lt;0),(A97-1)+IF(D97&lt;=0,0,-F96/D97),"")</f>
        <v/>
      </c>
    </row>
    <row r="98">
      <c r="A98">
        <f>A97+1</f>
        <v/>
      </c>
      <c r="B98">
        <f>IF(AdoptionRamp&lt;=0,1,MIN(1,A98/AdoptionRamp))</f>
        <v/>
      </c>
      <c r="C98">
        <f>Model!$B$8*B98</f>
        <v/>
      </c>
      <c r="D98">
        <f>C98*Model!$B$7-MonthlyRunCost</f>
        <v/>
      </c>
      <c r="E98" t="n">
        <v>0</v>
      </c>
      <c r="F98">
        <f>F97+D98</f>
        <v/>
      </c>
      <c r="H98">
        <f>IF(AND(F98&gt;=0,F97&lt;0),(A98-1)+IF(D98&lt;=0,0,-F97/D98),"")</f>
        <v/>
      </c>
    </row>
    <row r="99">
      <c r="A99">
        <f>A98+1</f>
        <v/>
      </c>
      <c r="B99">
        <f>IF(AdoptionRamp&lt;=0,1,MIN(1,A99/AdoptionRamp))</f>
        <v/>
      </c>
      <c r="C99">
        <f>Model!$B$8*B99</f>
        <v/>
      </c>
      <c r="D99">
        <f>C99*Model!$B$7-MonthlyRunCost</f>
        <v/>
      </c>
      <c r="E99" t="n">
        <v>0</v>
      </c>
      <c r="F99">
        <f>F98+D99</f>
        <v/>
      </c>
      <c r="H99">
        <f>IF(AND(F99&gt;=0,F98&lt;0),(A99-1)+IF(D99&lt;=0,0,-F98/D99),"")</f>
        <v/>
      </c>
    </row>
    <row r="100">
      <c r="A100">
        <f>A99+1</f>
        <v/>
      </c>
      <c r="B100">
        <f>IF(AdoptionRamp&lt;=0,1,MIN(1,A100/AdoptionRamp))</f>
        <v/>
      </c>
      <c r="C100">
        <f>Model!$B$8*B100</f>
        <v/>
      </c>
      <c r="D100">
        <f>C100*Model!$B$7-MonthlyRunCost</f>
        <v/>
      </c>
      <c r="E100" t="n">
        <v>0</v>
      </c>
      <c r="F100">
        <f>F99+D100</f>
        <v/>
      </c>
      <c r="H100">
        <f>IF(AND(F100&gt;=0,F99&lt;0),(A100-1)+IF(D100&lt;=0,0,-F99/D100),"")</f>
        <v/>
      </c>
    </row>
    <row r="101">
      <c r="A101">
        <f>A100+1</f>
        <v/>
      </c>
      <c r="B101">
        <f>IF(AdoptionRamp&lt;=0,1,MIN(1,A101/AdoptionRamp))</f>
        <v/>
      </c>
      <c r="C101">
        <f>Model!$B$8*B101</f>
        <v/>
      </c>
      <c r="D101">
        <f>C101*Model!$B$7-MonthlyRunCost</f>
        <v/>
      </c>
      <c r="E101" t="n">
        <v>0</v>
      </c>
      <c r="F101">
        <f>F100+D101</f>
        <v/>
      </c>
      <c r="H101">
        <f>IF(AND(F101&gt;=0,F100&lt;0),(A101-1)+IF(D101&lt;=0,0,-F100/D101),"")</f>
        <v/>
      </c>
    </row>
    <row r="102">
      <c r="A102">
        <f>A101+1</f>
        <v/>
      </c>
      <c r="B102">
        <f>IF(AdoptionRamp&lt;=0,1,MIN(1,A102/AdoptionRamp))</f>
        <v/>
      </c>
      <c r="C102">
        <f>Model!$B$8*B102</f>
        <v/>
      </c>
      <c r="D102">
        <f>C102*Model!$B$7-MonthlyRunCost</f>
        <v/>
      </c>
      <c r="E102" t="n">
        <v>0</v>
      </c>
      <c r="F102">
        <f>F101+D102</f>
        <v/>
      </c>
      <c r="H102">
        <f>IF(AND(F102&gt;=0,F101&lt;0),(A102-1)+IF(D102&lt;=0,0,-F101/D102),"")</f>
        <v/>
      </c>
    </row>
    <row r="103">
      <c r="A103">
        <f>A102+1</f>
        <v/>
      </c>
      <c r="B103">
        <f>IF(AdoptionRamp&lt;=0,1,MIN(1,A103/AdoptionRamp))</f>
        <v/>
      </c>
      <c r="C103">
        <f>Model!$B$8*B103</f>
        <v/>
      </c>
      <c r="D103">
        <f>C103*Model!$B$7-MonthlyRunCost</f>
        <v/>
      </c>
      <c r="E103" t="n">
        <v>0</v>
      </c>
      <c r="F103">
        <f>F102+D103</f>
        <v/>
      </c>
      <c r="H103">
        <f>IF(AND(F103&gt;=0,F102&lt;0),(A103-1)+IF(D103&lt;=0,0,-F102/D103),"")</f>
        <v/>
      </c>
    </row>
    <row r="104">
      <c r="A104">
        <f>A103+1</f>
        <v/>
      </c>
      <c r="B104">
        <f>IF(AdoptionRamp&lt;=0,1,MIN(1,A104/AdoptionRamp))</f>
        <v/>
      </c>
      <c r="C104">
        <f>Model!$B$8*B104</f>
        <v/>
      </c>
      <c r="D104">
        <f>C104*Model!$B$7-MonthlyRunCost</f>
        <v/>
      </c>
      <c r="E104" t="n">
        <v>0</v>
      </c>
      <c r="F104">
        <f>F103+D104</f>
        <v/>
      </c>
      <c r="H104">
        <f>IF(AND(F104&gt;=0,F103&lt;0),(A104-1)+IF(D104&lt;=0,0,-F103/D104),"")</f>
        <v/>
      </c>
    </row>
    <row r="105">
      <c r="A105">
        <f>A104+1</f>
        <v/>
      </c>
      <c r="B105">
        <f>IF(AdoptionRamp&lt;=0,1,MIN(1,A105/AdoptionRamp))</f>
        <v/>
      </c>
      <c r="C105">
        <f>Model!$B$8*B105</f>
        <v/>
      </c>
      <c r="D105">
        <f>C105*Model!$B$7-MonthlyRunCost</f>
        <v/>
      </c>
      <c r="E105" t="n">
        <v>0</v>
      </c>
      <c r="F105">
        <f>F104+D105</f>
        <v/>
      </c>
      <c r="H105">
        <f>IF(AND(F105&gt;=0,F104&lt;0),(A105-1)+IF(D105&lt;=0,0,-F104/D105),"")</f>
        <v/>
      </c>
    </row>
    <row r="106">
      <c r="A106">
        <f>A105+1</f>
        <v/>
      </c>
      <c r="B106">
        <f>IF(AdoptionRamp&lt;=0,1,MIN(1,A106/AdoptionRamp))</f>
        <v/>
      </c>
      <c r="C106">
        <f>Model!$B$8*B106</f>
        <v/>
      </c>
      <c r="D106">
        <f>C106*Model!$B$7-MonthlyRunCost</f>
        <v/>
      </c>
      <c r="E106" t="n">
        <v>0</v>
      </c>
      <c r="F106">
        <f>F105+D106</f>
        <v/>
      </c>
      <c r="H106">
        <f>IF(AND(F106&gt;=0,F105&lt;0),(A106-1)+IF(D106&lt;=0,0,-F105/D106),"")</f>
        <v/>
      </c>
    </row>
    <row r="107">
      <c r="A107">
        <f>A106+1</f>
        <v/>
      </c>
      <c r="B107">
        <f>IF(AdoptionRamp&lt;=0,1,MIN(1,A107/AdoptionRamp))</f>
        <v/>
      </c>
      <c r="C107">
        <f>Model!$B$8*B107</f>
        <v/>
      </c>
      <c r="D107">
        <f>C107*Model!$B$7-MonthlyRunCost</f>
        <v/>
      </c>
      <c r="E107" t="n">
        <v>0</v>
      </c>
      <c r="F107">
        <f>F106+D107</f>
        <v/>
      </c>
      <c r="H107">
        <f>IF(AND(F107&gt;=0,F106&lt;0),(A107-1)+IF(D107&lt;=0,0,-F106/D107),"")</f>
        <v/>
      </c>
    </row>
    <row r="108">
      <c r="A108">
        <f>A107+1</f>
        <v/>
      </c>
      <c r="B108">
        <f>IF(AdoptionRamp&lt;=0,1,MIN(1,A108/AdoptionRamp))</f>
        <v/>
      </c>
      <c r="C108">
        <f>Model!$B$8*B108</f>
        <v/>
      </c>
      <c r="D108">
        <f>C108*Model!$B$7-MonthlyRunCost</f>
        <v/>
      </c>
      <c r="E108" t="n">
        <v>0</v>
      </c>
      <c r="F108">
        <f>F107+D108</f>
        <v/>
      </c>
      <c r="H108">
        <f>IF(AND(F108&gt;=0,F107&lt;0),(A108-1)+IF(D108&lt;=0,0,-F107/D108),"")</f>
        <v/>
      </c>
    </row>
    <row r="109">
      <c r="A109">
        <f>A108+1</f>
        <v/>
      </c>
      <c r="B109">
        <f>IF(AdoptionRamp&lt;=0,1,MIN(1,A109/AdoptionRamp))</f>
        <v/>
      </c>
      <c r="C109">
        <f>Model!$B$8*B109</f>
        <v/>
      </c>
      <c r="D109">
        <f>C109*Model!$B$7-MonthlyRunCost</f>
        <v/>
      </c>
      <c r="E109" t="n">
        <v>0</v>
      </c>
      <c r="F109">
        <f>F108+D109</f>
        <v/>
      </c>
      <c r="H109">
        <f>IF(AND(F109&gt;=0,F108&lt;0),(A109-1)+IF(D109&lt;=0,0,-F108/D109),"")</f>
        <v/>
      </c>
    </row>
    <row r="110">
      <c r="A110">
        <f>A109+1</f>
        <v/>
      </c>
      <c r="B110">
        <f>IF(AdoptionRamp&lt;=0,1,MIN(1,A110/AdoptionRamp))</f>
        <v/>
      </c>
      <c r="C110">
        <f>Model!$B$8*B110</f>
        <v/>
      </c>
      <c r="D110">
        <f>C110*Model!$B$7-MonthlyRunCost</f>
        <v/>
      </c>
      <c r="E110" t="n">
        <v>0</v>
      </c>
      <c r="F110">
        <f>F109+D110</f>
        <v/>
      </c>
      <c r="H110">
        <f>IF(AND(F110&gt;=0,F109&lt;0),(A110-1)+IF(D110&lt;=0,0,-F109/D110),"")</f>
        <v/>
      </c>
    </row>
    <row r="111">
      <c r="A111">
        <f>A110+1</f>
        <v/>
      </c>
      <c r="B111">
        <f>IF(AdoptionRamp&lt;=0,1,MIN(1,A111/AdoptionRamp))</f>
        <v/>
      </c>
      <c r="C111">
        <f>Model!$B$8*B111</f>
        <v/>
      </c>
      <c r="D111">
        <f>C111*Model!$B$7-MonthlyRunCost</f>
        <v/>
      </c>
      <c r="E111" t="n">
        <v>0</v>
      </c>
      <c r="F111">
        <f>F110+D111</f>
        <v/>
      </c>
      <c r="H111">
        <f>IF(AND(F111&gt;=0,F110&lt;0),(A111-1)+IF(D111&lt;=0,0,-F110/D111),"")</f>
        <v/>
      </c>
    </row>
    <row r="112">
      <c r="A112">
        <f>A111+1</f>
        <v/>
      </c>
      <c r="B112">
        <f>IF(AdoptionRamp&lt;=0,1,MIN(1,A112/AdoptionRamp))</f>
        <v/>
      </c>
      <c r="C112">
        <f>Model!$B$8*B112</f>
        <v/>
      </c>
      <c r="D112">
        <f>C112*Model!$B$7-MonthlyRunCost</f>
        <v/>
      </c>
      <c r="E112" t="n">
        <v>0</v>
      </c>
      <c r="F112">
        <f>F111+D112</f>
        <v/>
      </c>
      <c r="H112">
        <f>IF(AND(F112&gt;=0,F111&lt;0),(A112-1)+IF(D112&lt;=0,0,-F111/D112),"")</f>
        <v/>
      </c>
    </row>
    <row r="113">
      <c r="A113">
        <f>A112+1</f>
        <v/>
      </c>
      <c r="B113">
        <f>IF(AdoptionRamp&lt;=0,1,MIN(1,A113/AdoptionRamp))</f>
        <v/>
      </c>
      <c r="C113">
        <f>Model!$B$8*B113</f>
        <v/>
      </c>
      <c r="D113">
        <f>C113*Model!$B$7-MonthlyRunCost</f>
        <v/>
      </c>
      <c r="E113" t="n">
        <v>0</v>
      </c>
      <c r="F113">
        <f>F112+D113</f>
        <v/>
      </c>
      <c r="H113">
        <f>IF(AND(F113&gt;=0,F112&lt;0),(A113-1)+IF(D113&lt;=0,0,-F112/D113),"")</f>
        <v/>
      </c>
    </row>
    <row r="114">
      <c r="A114">
        <f>A113+1</f>
        <v/>
      </c>
      <c r="B114">
        <f>IF(AdoptionRamp&lt;=0,1,MIN(1,A114/AdoptionRamp))</f>
        <v/>
      </c>
      <c r="C114">
        <f>Model!$B$8*B114</f>
        <v/>
      </c>
      <c r="D114">
        <f>C114*Model!$B$7-MonthlyRunCost</f>
        <v/>
      </c>
      <c r="E114" t="n">
        <v>0</v>
      </c>
      <c r="F114">
        <f>F113+D114</f>
        <v/>
      </c>
      <c r="H114">
        <f>IF(AND(F114&gt;=0,F113&lt;0),(A114-1)+IF(D114&lt;=0,0,-F113/D114),"")</f>
        <v/>
      </c>
    </row>
    <row r="115">
      <c r="A115">
        <f>A114+1</f>
        <v/>
      </c>
      <c r="B115">
        <f>IF(AdoptionRamp&lt;=0,1,MIN(1,A115/AdoptionRamp))</f>
        <v/>
      </c>
      <c r="C115">
        <f>Model!$B$8*B115</f>
        <v/>
      </c>
      <c r="D115">
        <f>C115*Model!$B$7-MonthlyRunCost</f>
        <v/>
      </c>
      <c r="E115" t="n">
        <v>0</v>
      </c>
      <c r="F115">
        <f>F114+D115</f>
        <v/>
      </c>
      <c r="H115">
        <f>IF(AND(F115&gt;=0,F114&lt;0),(A115-1)+IF(D115&lt;=0,0,-F114/D115),"")</f>
        <v/>
      </c>
    </row>
    <row r="116">
      <c r="A116">
        <f>A115+1</f>
        <v/>
      </c>
      <c r="B116">
        <f>IF(AdoptionRamp&lt;=0,1,MIN(1,A116/AdoptionRamp))</f>
        <v/>
      </c>
      <c r="C116">
        <f>Model!$B$8*B116</f>
        <v/>
      </c>
      <c r="D116">
        <f>C116*Model!$B$7-MonthlyRunCost</f>
        <v/>
      </c>
      <c r="E116" t="n">
        <v>0</v>
      </c>
      <c r="F116">
        <f>F115+D116</f>
        <v/>
      </c>
      <c r="H116">
        <f>IF(AND(F116&gt;=0,F115&lt;0),(A116-1)+IF(D116&lt;=0,0,-F115/D116),"")</f>
        <v/>
      </c>
    </row>
    <row r="117">
      <c r="A117">
        <f>A116+1</f>
        <v/>
      </c>
      <c r="B117">
        <f>IF(AdoptionRamp&lt;=0,1,MIN(1,A117/AdoptionRamp))</f>
        <v/>
      </c>
      <c r="C117">
        <f>Model!$B$8*B117</f>
        <v/>
      </c>
      <c r="D117">
        <f>C117*Model!$B$7-MonthlyRunCost</f>
        <v/>
      </c>
      <c r="E117" t="n">
        <v>0</v>
      </c>
      <c r="F117">
        <f>F116+D117</f>
        <v/>
      </c>
      <c r="H117">
        <f>IF(AND(F117&gt;=0,F116&lt;0),(A117-1)+IF(D117&lt;=0,0,-F116/D117),"")</f>
        <v/>
      </c>
    </row>
    <row r="118">
      <c r="A118">
        <f>A117+1</f>
        <v/>
      </c>
      <c r="B118">
        <f>IF(AdoptionRamp&lt;=0,1,MIN(1,A118/AdoptionRamp))</f>
        <v/>
      </c>
      <c r="C118">
        <f>Model!$B$8*B118</f>
        <v/>
      </c>
      <c r="D118">
        <f>C118*Model!$B$7-MonthlyRunCost</f>
        <v/>
      </c>
      <c r="E118" t="n">
        <v>0</v>
      </c>
      <c r="F118">
        <f>F117+D118</f>
        <v/>
      </c>
      <c r="H118">
        <f>IF(AND(F118&gt;=0,F117&lt;0),(A118-1)+IF(D118&lt;=0,0,-F117/D118),"")</f>
        <v/>
      </c>
    </row>
    <row r="119">
      <c r="A119">
        <f>A118+1</f>
        <v/>
      </c>
      <c r="B119">
        <f>IF(AdoptionRamp&lt;=0,1,MIN(1,A119/AdoptionRamp))</f>
        <v/>
      </c>
      <c r="C119">
        <f>Model!$B$8*B119</f>
        <v/>
      </c>
      <c r="D119">
        <f>C119*Model!$B$7-MonthlyRunCost</f>
        <v/>
      </c>
      <c r="E119" t="n">
        <v>0</v>
      </c>
      <c r="F119">
        <f>F118+D119</f>
        <v/>
      </c>
      <c r="H119">
        <f>IF(AND(F119&gt;=0,F118&lt;0),(A119-1)+IF(D119&lt;=0,0,-F118/D119),"")</f>
        <v/>
      </c>
    </row>
    <row r="120">
      <c r="A120">
        <f>A119+1</f>
        <v/>
      </c>
      <c r="B120">
        <f>IF(AdoptionRamp&lt;=0,1,MIN(1,A120/AdoptionRamp))</f>
        <v/>
      </c>
      <c r="C120">
        <f>Model!$B$8*B120</f>
        <v/>
      </c>
      <c r="D120">
        <f>C120*Model!$B$7-MonthlyRunCost</f>
        <v/>
      </c>
      <c r="E120" t="n">
        <v>0</v>
      </c>
      <c r="F120">
        <f>F119+D120</f>
        <v/>
      </c>
      <c r="H120">
        <f>IF(AND(F120&gt;=0,F119&lt;0),(A120-1)+IF(D120&lt;=0,0,-F119/D120),"")</f>
        <v/>
      </c>
    </row>
    <row r="121">
      <c r="A121">
        <f>A120+1</f>
        <v/>
      </c>
      <c r="B121">
        <f>IF(AdoptionRamp&lt;=0,1,MIN(1,A121/AdoptionRamp))</f>
        <v/>
      </c>
      <c r="C121">
        <f>Model!$B$8*B121</f>
        <v/>
      </c>
      <c r="D121">
        <f>C121*Model!$B$7-MonthlyRunCost</f>
        <v/>
      </c>
      <c r="E121" t="n">
        <v>0</v>
      </c>
      <c r="F121">
        <f>F120+D121</f>
        <v/>
      </c>
      <c r="H121">
        <f>IF(AND(F121&gt;=0,F120&lt;0),(A121-1)+IF(D121&lt;=0,0,-F120/D121),"")</f>
        <v/>
      </c>
    </row>
    <row r="122">
      <c r="A122">
        <f>A121+1</f>
        <v/>
      </c>
      <c r="B122">
        <f>IF(AdoptionRamp&lt;=0,1,MIN(1,A122/AdoptionRamp))</f>
        <v/>
      </c>
      <c r="C122">
        <f>Model!$B$8*B122</f>
        <v/>
      </c>
      <c r="D122">
        <f>C122*Model!$B$7-MonthlyRunCost</f>
        <v/>
      </c>
      <c r="E122" t="n">
        <v>0</v>
      </c>
      <c r="F122">
        <f>F121+D122</f>
        <v/>
      </c>
      <c r="H122">
        <f>IF(AND(F122&gt;=0,F121&lt;0),(A122-1)+IF(D122&lt;=0,0,-F121/D122),"")</f>
        <v/>
      </c>
    </row>
    <row r="123">
      <c r="A123">
        <f>A122+1</f>
        <v/>
      </c>
      <c r="B123">
        <f>IF(AdoptionRamp&lt;=0,1,MIN(1,A123/AdoptionRamp))</f>
        <v/>
      </c>
      <c r="C123">
        <f>Model!$B$8*B123</f>
        <v/>
      </c>
      <c r="D123">
        <f>C123*Model!$B$7-MonthlyRunCost</f>
        <v/>
      </c>
      <c r="E123" t="n">
        <v>0</v>
      </c>
      <c r="F123">
        <f>F122+D123</f>
        <v/>
      </c>
      <c r="H123">
        <f>IF(AND(F123&gt;=0,F122&lt;0),(A123-1)+IF(D123&lt;=0,0,-F122/D123),"")</f>
        <v/>
      </c>
    </row>
    <row r="124">
      <c r="A124">
        <f>A123+1</f>
        <v/>
      </c>
      <c r="B124">
        <f>IF(AdoptionRamp&lt;=0,1,MIN(1,A124/AdoptionRamp))</f>
        <v/>
      </c>
      <c r="C124">
        <f>Model!$B$8*B124</f>
        <v/>
      </c>
      <c r="D124">
        <f>C124*Model!$B$7-MonthlyRunCost</f>
        <v/>
      </c>
      <c r="E124" t="n">
        <v>0</v>
      </c>
      <c r="F124">
        <f>F123+D124</f>
        <v/>
      </c>
      <c r="H124">
        <f>IF(AND(F124&gt;=0,F123&lt;0),(A124-1)+IF(D124&lt;=0,0,-F123/D124),"")</f>
        <v/>
      </c>
    </row>
    <row r="125">
      <c r="A125">
        <f>A124+1</f>
        <v/>
      </c>
      <c r="B125">
        <f>IF(AdoptionRamp&lt;=0,1,MIN(1,A125/AdoptionRamp))</f>
        <v/>
      </c>
      <c r="C125">
        <f>Model!$B$8*B125</f>
        <v/>
      </c>
      <c r="D125">
        <f>C125*Model!$B$7-MonthlyRunCost</f>
        <v/>
      </c>
      <c r="E125" t="n">
        <v>0</v>
      </c>
      <c r="F125">
        <f>F124+D125</f>
        <v/>
      </c>
      <c r="H125">
        <f>IF(AND(F125&gt;=0,F124&lt;0),(A125-1)+IF(D125&lt;=0,0,-F124/D125),"")</f>
        <v/>
      </c>
    </row>
    <row r="126">
      <c r="A126">
        <f>A125+1</f>
        <v/>
      </c>
      <c r="B126">
        <f>IF(AdoptionRamp&lt;=0,1,MIN(1,A126/AdoptionRamp))</f>
        <v/>
      </c>
      <c r="C126">
        <f>Model!$B$8*B126</f>
        <v/>
      </c>
      <c r="D126">
        <f>C126*Model!$B$7-MonthlyRunCost</f>
        <v/>
      </c>
      <c r="E126" t="n">
        <v>0</v>
      </c>
      <c r="F126">
        <f>F125+D126</f>
        <v/>
      </c>
      <c r="H126">
        <f>IF(AND(F126&gt;=0,F125&lt;0),(A126-1)+IF(D126&lt;=0,0,-F125/D126),"")</f>
        <v/>
      </c>
    </row>
    <row r="127">
      <c r="A127">
        <f>A126+1</f>
        <v/>
      </c>
      <c r="B127">
        <f>IF(AdoptionRamp&lt;=0,1,MIN(1,A127/AdoptionRamp))</f>
        <v/>
      </c>
      <c r="C127">
        <f>Model!$B$8*B127</f>
        <v/>
      </c>
      <c r="D127">
        <f>C127*Model!$B$7-MonthlyRunCost</f>
        <v/>
      </c>
      <c r="E127" t="n">
        <v>0</v>
      </c>
      <c r="F127">
        <f>F126+D127</f>
        <v/>
      </c>
      <c r="H127">
        <f>IF(AND(F127&gt;=0,F126&lt;0),(A127-1)+IF(D127&lt;=0,0,-F126/D127),"")</f>
        <v/>
      </c>
    </row>
    <row r="128">
      <c r="A128">
        <f>A127+1</f>
        <v/>
      </c>
      <c r="B128">
        <f>IF(AdoptionRamp&lt;=0,1,MIN(1,A128/AdoptionRamp))</f>
        <v/>
      </c>
      <c r="C128">
        <f>Model!$B$8*B128</f>
        <v/>
      </c>
      <c r="D128">
        <f>C128*Model!$B$7-MonthlyRunCost</f>
        <v/>
      </c>
      <c r="E128" t="n">
        <v>0</v>
      </c>
      <c r="F128">
        <f>F127+D128</f>
        <v/>
      </c>
      <c r="H128">
        <f>IF(AND(F128&gt;=0,F127&lt;0),(A128-1)+IF(D128&lt;=0,0,-F127/D128),"")</f>
        <v/>
      </c>
    </row>
    <row r="129">
      <c r="A129">
        <f>A128+1</f>
        <v/>
      </c>
      <c r="B129">
        <f>IF(AdoptionRamp&lt;=0,1,MIN(1,A129/AdoptionRamp))</f>
        <v/>
      </c>
      <c r="C129">
        <f>Model!$B$8*B129</f>
        <v/>
      </c>
      <c r="D129">
        <f>C129*Model!$B$7-MonthlyRunCost</f>
        <v/>
      </c>
      <c r="E129" t="n">
        <v>0</v>
      </c>
      <c r="F129">
        <f>F128+D129</f>
        <v/>
      </c>
      <c r="H129">
        <f>IF(AND(F129&gt;=0,F128&lt;0),(A129-1)+IF(D129&lt;=0,0,-F128/D129),"")</f>
        <v/>
      </c>
    </row>
    <row r="130">
      <c r="A130">
        <f>A129+1</f>
        <v/>
      </c>
      <c r="B130">
        <f>IF(AdoptionRamp&lt;=0,1,MIN(1,A130/AdoptionRamp))</f>
        <v/>
      </c>
      <c r="C130">
        <f>Model!$B$8*B130</f>
        <v/>
      </c>
      <c r="D130">
        <f>C130*Model!$B$7-MonthlyRunCost</f>
        <v/>
      </c>
      <c r="E130" t="n">
        <v>0</v>
      </c>
      <c r="F130">
        <f>F129+D130</f>
        <v/>
      </c>
      <c r="H130">
        <f>IF(AND(F130&gt;=0,F129&lt;0),(A130-1)+IF(D130&lt;=0,0,-F129/D130),"")</f>
        <v/>
      </c>
    </row>
    <row r="131">
      <c r="A131">
        <f>A130+1</f>
        <v/>
      </c>
      <c r="B131">
        <f>IF(AdoptionRamp&lt;=0,1,MIN(1,A131/AdoptionRamp))</f>
        <v/>
      </c>
      <c r="C131">
        <f>Model!$B$8*B131</f>
        <v/>
      </c>
      <c r="D131">
        <f>C131*Model!$B$7-MonthlyRunCost</f>
        <v/>
      </c>
      <c r="E131" t="n">
        <v>0</v>
      </c>
      <c r="F131">
        <f>F130+D131</f>
        <v/>
      </c>
      <c r="H131">
        <f>IF(AND(F131&gt;=0,F130&lt;0),(A131-1)+IF(D131&lt;=0,0,-F130/D131),"")</f>
        <v/>
      </c>
    </row>
    <row r="132">
      <c r="A132">
        <f>A131+1</f>
        <v/>
      </c>
      <c r="B132">
        <f>IF(AdoptionRamp&lt;=0,1,MIN(1,A132/AdoptionRamp))</f>
        <v/>
      </c>
      <c r="C132">
        <f>Model!$B$8*B132</f>
        <v/>
      </c>
      <c r="D132">
        <f>C132*Model!$B$7-MonthlyRunCost</f>
        <v/>
      </c>
      <c r="E132" t="n">
        <v>0</v>
      </c>
      <c r="F132">
        <f>F131+D132</f>
        <v/>
      </c>
      <c r="H132">
        <f>IF(AND(F132&gt;=0,F131&lt;0),(A132-1)+IF(D132&lt;=0,0,-F131/D132),"")</f>
        <v/>
      </c>
    </row>
    <row r="133">
      <c r="A133">
        <f>A132+1</f>
        <v/>
      </c>
      <c r="B133">
        <f>IF(AdoptionRamp&lt;=0,1,MIN(1,A133/AdoptionRamp))</f>
        <v/>
      </c>
      <c r="C133">
        <f>Model!$B$8*B133</f>
        <v/>
      </c>
      <c r="D133">
        <f>C133*Model!$B$7-MonthlyRunCost</f>
        <v/>
      </c>
      <c r="E133" t="n">
        <v>0</v>
      </c>
      <c r="F133">
        <f>F132+D133</f>
        <v/>
      </c>
      <c r="H133">
        <f>IF(AND(F133&gt;=0,F132&lt;0),(A133-1)+IF(D133&lt;=0,0,-F132/D133),"")</f>
        <v/>
      </c>
    </row>
    <row r="134">
      <c r="A134">
        <f>A133+1</f>
        <v/>
      </c>
      <c r="B134">
        <f>IF(AdoptionRamp&lt;=0,1,MIN(1,A134/AdoptionRamp))</f>
        <v/>
      </c>
      <c r="C134">
        <f>Model!$B$8*B134</f>
        <v/>
      </c>
      <c r="D134">
        <f>C134*Model!$B$7-MonthlyRunCost</f>
        <v/>
      </c>
      <c r="E134" t="n">
        <v>0</v>
      </c>
      <c r="F134">
        <f>F133+D134</f>
        <v/>
      </c>
      <c r="H134">
        <f>IF(AND(F134&gt;=0,F133&lt;0),(A134-1)+IF(D134&lt;=0,0,-F133/D134),"")</f>
        <v/>
      </c>
    </row>
    <row r="135">
      <c r="A135">
        <f>A134+1</f>
        <v/>
      </c>
      <c r="B135">
        <f>IF(AdoptionRamp&lt;=0,1,MIN(1,A135/AdoptionRamp))</f>
        <v/>
      </c>
      <c r="C135">
        <f>Model!$B$8*B135</f>
        <v/>
      </c>
      <c r="D135">
        <f>C135*Model!$B$7-MonthlyRunCost</f>
        <v/>
      </c>
      <c r="E135" t="n">
        <v>0</v>
      </c>
      <c r="F135">
        <f>F134+D135</f>
        <v/>
      </c>
      <c r="H135">
        <f>IF(AND(F135&gt;=0,F134&lt;0),(A135-1)+IF(D135&lt;=0,0,-F134/D135),"")</f>
        <v/>
      </c>
    </row>
    <row r="136">
      <c r="A136">
        <f>A135+1</f>
        <v/>
      </c>
      <c r="B136">
        <f>IF(AdoptionRamp&lt;=0,1,MIN(1,A136/AdoptionRamp))</f>
        <v/>
      </c>
      <c r="C136">
        <f>Model!$B$8*B136</f>
        <v/>
      </c>
      <c r="D136">
        <f>C136*Model!$B$7-MonthlyRunCost</f>
        <v/>
      </c>
      <c r="E136" t="n">
        <v>0</v>
      </c>
      <c r="F136">
        <f>F135+D136</f>
        <v/>
      </c>
      <c r="H136">
        <f>IF(AND(F136&gt;=0,F135&lt;0),(A136-1)+IF(D136&lt;=0,0,-F135/D136),"")</f>
        <v/>
      </c>
    </row>
    <row r="137">
      <c r="A137">
        <f>A136+1</f>
        <v/>
      </c>
      <c r="B137">
        <f>IF(AdoptionRamp&lt;=0,1,MIN(1,A137/AdoptionRamp))</f>
        <v/>
      </c>
      <c r="C137">
        <f>Model!$B$8*B137</f>
        <v/>
      </c>
      <c r="D137">
        <f>C137*Model!$B$7-MonthlyRunCost</f>
        <v/>
      </c>
      <c r="E137" t="n">
        <v>0</v>
      </c>
      <c r="F137">
        <f>F136+D137</f>
        <v/>
      </c>
      <c r="H137">
        <f>IF(AND(F137&gt;=0,F136&lt;0),(A137-1)+IF(D137&lt;=0,0,-F136/D137),"")</f>
        <v/>
      </c>
    </row>
    <row r="138">
      <c r="A138">
        <f>A137+1</f>
        <v/>
      </c>
      <c r="B138">
        <f>IF(AdoptionRamp&lt;=0,1,MIN(1,A138/AdoptionRamp))</f>
        <v/>
      </c>
      <c r="C138">
        <f>Model!$B$8*B138</f>
        <v/>
      </c>
      <c r="D138">
        <f>C138*Model!$B$7-MonthlyRunCost</f>
        <v/>
      </c>
      <c r="E138" t="n">
        <v>0</v>
      </c>
      <c r="F138">
        <f>F137+D138</f>
        <v/>
      </c>
      <c r="H138">
        <f>IF(AND(F138&gt;=0,F137&lt;0),(A138-1)+IF(D138&lt;=0,0,-F137/D138),"")</f>
        <v/>
      </c>
    </row>
    <row r="139">
      <c r="A139">
        <f>A138+1</f>
        <v/>
      </c>
      <c r="B139">
        <f>IF(AdoptionRamp&lt;=0,1,MIN(1,A139/AdoptionRamp))</f>
        <v/>
      </c>
      <c r="C139">
        <f>Model!$B$8*B139</f>
        <v/>
      </c>
      <c r="D139">
        <f>C139*Model!$B$7-MonthlyRunCost</f>
        <v/>
      </c>
      <c r="E139" t="n">
        <v>0</v>
      </c>
      <c r="F139">
        <f>F138+D139</f>
        <v/>
      </c>
      <c r="H139">
        <f>IF(AND(F139&gt;=0,F138&lt;0),(A139-1)+IF(D139&lt;=0,0,-F138/D139),"")</f>
        <v/>
      </c>
    </row>
    <row r="140">
      <c r="A140">
        <f>A139+1</f>
        <v/>
      </c>
      <c r="B140">
        <f>IF(AdoptionRamp&lt;=0,1,MIN(1,A140/AdoptionRamp))</f>
        <v/>
      </c>
      <c r="C140">
        <f>Model!$B$8*B140</f>
        <v/>
      </c>
      <c r="D140">
        <f>C140*Model!$B$7-MonthlyRunCost</f>
        <v/>
      </c>
      <c r="E140" t="n">
        <v>0</v>
      </c>
      <c r="F140">
        <f>F139+D140</f>
        <v/>
      </c>
      <c r="H140">
        <f>IF(AND(F140&gt;=0,F139&lt;0),(A140-1)+IF(D140&lt;=0,0,-F139/D140),"")</f>
        <v/>
      </c>
    </row>
    <row r="141">
      <c r="A141">
        <f>A140+1</f>
        <v/>
      </c>
      <c r="B141">
        <f>IF(AdoptionRamp&lt;=0,1,MIN(1,A141/AdoptionRamp))</f>
        <v/>
      </c>
      <c r="C141">
        <f>Model!$B$8*B141</f>
        <v/>
      </c>
      <c r="D141">
        <f>C141*Model!$B$7-MonthlyRunCost</f>
        <v/>
      </c>
      <c r="E141" t="n">
        <v>0</v>
      </c>
      <c r="F141">
        <f>F140+D141</f>
        <v/>
      </c>
      <c r="H141">
        <f>IF(AND(F141&gt;=0,F140&lt;0),(A141-1)+IF(D141&lt;=0,0,-F140/D141),"")</f>
        <v/>
      </c>
    </row>
    <row r="142">
      <c r="A142">
        <f>A141+1</f>
        <v/>
      </c>
      <c r="B142">
        <f>IF(AdoptionRamp&lt;=0,1,MIN(1,A142/AdoptionRamp))</f>
        <v/>
      </c>
      <c r="C142">
        <f>Model!$B$8*B142</f>
        <v/>
      </c>
      <c r="D142">
        <f>C142*Model!$B$7-MonthlyRunCost</f>
        <v/>
      </c>
      <c r="E142" t="n">
        <v>0</v>
      </c>
      <c r="F142">
        <f>F141+D142</f>
        <v/>
      </c>
      <c r="H142">
        <f>IF(AND(F142&gt;=0,F141&lt;0),(A142-1)+IF(D142&lt;=0,0,-F141/D142),"")</f>
        <v/>
      </c>
    </row>
    <row r="143">
      <c r="A143">
        <f>A142+1</f>
        <v/>
      </c>
      <c r="B143">
        <f>IF(AdoptionRamp&lt;=0,1,MIN(1,A143/AdoptionRamp))</f>
        <v/>
      </c>
      <c r="C143">
        <f>Model!$B$8*B143</f>
        <v/>
      </c>
      <c r="D143">
        <f>C143*Model!$B$7-MonthlyRunCost</f>
        <v/>
      </c>
      <c r="E143" t="n">
        <v>0</v>
      </c>
      <c r="F143">
        <f>F142+D143</f>
        <v/>
      </c>
      <c r="H143">
        <f>IF(AND(F143&gt;=0,F142&lt;0),(A143-1)+IF(D143&lt;=0,0,-F142/D143),"")</f>
        <v/>
      </c>
    </row>
    <row r="144">
      <c r="A144">
        <f>A143+1</f>
        <v/>
      </c>
      <c r="B144">
        <f>IF(AdoptionRamp&lt;=0,1,MIN(1,A144/AdoptionRamp))</f>
        <v/>
      </c>
      <c r="C144">
        <f>Model!$B$8*B144</f>
        <v/>
      </c>
      <c r="D144">
        <f>C144*Model!$B$7-MonthlyRunCost</f>
        <v/>
      </c>
      <c r="E144" t="n">
        <v>0</v>
      </c>
      <c r="F144">
        <f>F143+D144</f>
        <v/>
      </c>
      <c r="H144">
        <f>IF(AND(F144&gt;=0,F143&lt;0),(A144-1)+IF(D144&lt;=0,0,-F143/D144),"")</f>
        <v/>
      </c>
    </row>
    <row r="145">
      <c r="A145">
        <f>A144+1</f>
        <v/>
      </c>
      <c r="B145">
        <f>IF(AdoptionRamp&lt;=0,1,MIN(1,A145/AdoptionRamp))</f>
        <v/>
      </c>
      <c r="C145">
        <f>Model!$B$8*B145</f>
        <v/>
      </c>
      <c r="D145">
        <f>C145*Model!$B$7-MonthlyRunCost</f>
        <v/>
      </c>
      <c r="E145" t="n">
        <v>0</v>
      </c>
      <c r="F145">
        <f>F144+D145</f>
        <v/>
      </c>
      <c r="H145">
        <f>IF(AND(F145&gt;=0,F144&lt;0),(A145-1)+IF(D145&lt;=0,0,-F144/D145),"")</f>
        <v/>
      </c>
    </row>
    <row r="146">
      <c r="A146">
        <f>A145+1</f>
        <v/>
      </c>
      <c r="B146">
        <f>IF(AdoptionRamp&lt;=0,1,MIN(1,A146/AdoptionRamp))</f>
        <v/>
      </c>
      <c r="C146">
        <f>Model!$B$8*B146</f>
        <v/>
      </c>
      <c r="D146">
        <f>C146*Model!$B$7-MonthlyRunCost</f>
        <v/>
      </c>
      <c r="E146" t="n">
        <v>0</v>
      </c>
      <c r="F146">
        <f>F145+D146</f>
        <v/>
      </c>
      <c r="H146">
        <f>IF(AND(F146&gt;=0,F145&lt;0),(A146-1)+IF(D146&lt;=0,0,-F145/D146),"")</f>
        <v/>
      </c>
    </row>
    <row r="147">
      <c r="A147">
        <f>A146+1</f>
        <v/>
      </c>
      <c r="B147">
        <f>IF(AdoptionRamp&lt;=0,1,MIN(1,A147/AdoptionRamp))</f>
        <v/>
      </c>
      <c r="C147">
        <f>Model!$B$8*B147</f>
        <v/>
      </c>
      <c r="D147">
        <f>C147*Model!$B$7-MonthlyRunCost</f>
        <v/>
      </c>
      <c r="E147" t="n">
        <v>0</v>
      </c>
      <c r="F147">
        <f>F146+D147</f>
        <v/>
      </c>
      <c r="H147">
        <f>IF(AND(F147&gt;=0,F146&lt;0),(A147-1)+IF(D147&lt;=0,0,-F146/D147),"")</f>
        <v/>
      </c>
    </row>
    <row r="148">
      <c r="A148">
        <f>A147+1</f>
        <v/>
      </c>
      <c r="B148">
        <f>IF(AdoptionRamp&lt;=0,1,MIN(1,A148/AdoptionRamp))</f>
        <v/>
      </c>
      <c r="C148">
        <f>Model!$B$8*B148</f>
        <v/>
      </c>
      <c r="D148">
        <f>C148*Model!$B$7-MonthlyRunCost</f>
        <v/>
      </c>
      <c r="E148" t="n">
        <v>0</v>
      </c>
      <c r="F148">
        <f>F147+D148</f>
        <v/>
      </c>
      <c r="H148">
        <f>IF(AND(F148&gt;=0,F147&lt;0),(A148-1)+IF(D148&lt;=0,0,-F147/D148),"")</f>
        <v/>
      </c>
    </row>
    <row r="149">
      <c r="A149">
        <f>A148+1</f>
        <v/>
      </c>
      <c r="B149">
        <f>IF(AdoptionRamp&lt;=0,1,MIN(1,A149/AdoptionRamp))</f>
        <v/>
      </c>
      <c r="C149">
        <f>Model!$B$8*B149</f>
        <v/>
      </c>
      <c r="D149">
        <f>C149*Model!$B$7-MonthlyRunCost</f>
        <v/>
      </c>
      <c r="E149" t="n">
        <v>0</v>
      </c>
      <c r="F149">
        <f>F148+D149</f>
        <v/>
      </c>
      <c r="H149">
        <f>IF(AND(F149&gt;=0,F148&lt;0),(A149-1)+IF(D149&lt;=0,0,-F148/D149),"")</f>
        <v/>
      </c>
    </row>
    <row r="150">
      <c r="A150">
        <f>A149+1</f>
        <v/>
      </c>
      <c r="B150">
        <f>IF(AdoptionRamp&lt;=0,1,MIN(1,A150/AdoptionRamp))</f>
        <v/>
      </c>
      <c r="C150">
        <f>Model!$B$8*B150</f>
        <v/>
      </c>
      <c r="D150">
        <f>C150*Model!$B$7-MonthlyRunCost</f>
        <v/>
      </c>
      <c r="E150" t="n">
        <v>0</v>
      </c>
      <c r="F150">
        <f>F149+D150</f>
        <v/>
      </c>
      <c r="H150">
        <f>IF(AND(F150&gt;=0,F149&lt;0),(A150-1)+IF(D150&lt;=0,0,-F149/D150),"")</f>
        <v/>
      </c>
    </row>
    <row r="151">
      <c r="A151">
        <f>A150+1</f>
        <v/>
      </c>
      <c r="B151">
        <f>IF(AdoptionRamp&lt;=0,1,MIN(1,A151/AdoptionRamp))</f>
        <v/>
      </c>
      <c r="C151">
        <f>Model!$B$8*B151</f>
        <v/>
      </c>
      <c r="D151">
        <f>C151*Model!$B$7-MonthlyRunCost</f>
        <v/>
      </c>
      <c r="E151" t="n">
        <v>0</v>
      </c>
      <c r="F151">
        <f>F150+D151</f>
        <v/>
      </c>
      <c r="H151">
        <f>IF(AND(F151&gt;=0,F150&lt;0),(A151-1)+IF(D151&lt;=0,0,-F150/D151),"")</f>
        <v/>
      </c>
    </row>
    <row r="152">
      <c r="A152">
        <f>A151+1</f>
        <v/>
      </c>
      <c r="B152">
        <f>IF(AdoptionRamp&lt;=0,1,MIN(1,A152/AdoptionRamp))</f>
        <v/>
      </c>
      <c r="C152">
        <f>Model!$B$8*B152</f>
        <v/>
      </c>
      <c r="D152">
        <f>C152*Model!$B$7-MonthlyRunCost</f>
        <v/>
      </c>
      <c r="E152" t="n">
        <v>0</v>
      </c>
      <c r="F152">
        <f>F151+D152</f>
        <v/>
      </c>
      <c r="H152">
        <f>IF(AND(F152&gt;=0,F151&lt;0),(A152-1)+IF(D152&lt;=0,0,-F151/D152),"")</f>
        <v/>
      </c>
    </row>
    <row r="153">
      <c r="A153">
        <f>A152+1</f>
        <v/>
      </c>
      <c r="B153">
        <f>IF(AdoptionRamp&lt;=0,1,MIN(1,A153/AdoptionRamp))</f>
        <v/>
      </c>
      <c r="C153">
        <f>Model!$B$8*B153</f>
        <v/>
      </c>
      <c r="D153">
        <f>C153*Model!$B$7-MonthlyRunCost</f>
        <v/>
      </c>
      <c r="E153" t="n">
        <v>0</v>
      </c>
      <c r="F153">
        <f>F152+D153</f>
        <v/>
      </c>
      <c r="H153">
        <f>IF(AND(F153&gt;=0,F152&lt;0),(A153-1)+IF(D153&lt;=0,0,-F152/D153),"")</f>
        <v/>
      </c>
    </row>
    <row r="154">
      <c r="A154">
        <f>A153+1</f>
        <v/>
      </c>
      <c r="B154">
        <f>IF(AdoptionRamp&lt;=0,1,MIN(1,A154/AdoptionRamp))</f>
        <v/>
      </c>
      <c r="C154">
        <f>Model!$B$8*B154</f>
        <v/>
      </c>
      <c r="D154">
        <f>C154*Model!$B$7-MonthlyRunCost</f>
        <v/>
      </c>
      <c r="E154" t="n">
        <v>0</v>
      </c>
      <c r="F154">
        <f>F153+D154</f>
        <v/>
      </c>
      <c r="H154">
        <f>IF(AND(F154&gt;=0,F153&lt;0),(A154-1)+IF(D154&lt;=0,0,-F153/D154),"")</f>
        <v/>
      </c>
    </row>
    <row r="155">
      <c r="A155">
        <f>A154+1</f>
        <v/>
      </c>
      <c r="B155">
        <f>IF(AdoptionRamp&lt;=0,1,MIN(1,A155/AdoptionRamp))</f>
        <v/>
      </c>
      <c r="C155">
        <f>Model!$B$8*B155</f>
        <v/>
      </c>
      <c r="D155">
        <f>C155*Model!$B$7-MonthlyRunCost</f>
        <v/>
      </c>
      <c r="E155" t="n">
        <v>0</v>
      </c>
      <c r="F155">
        <f>F154+D155</f>
        <v/>
      </c>
      <c r="H155">
        <f>IF(AND(F155&gt;=0,F154&lt;0),(A155-1)+IF(D155&lt;=0,0,-F154/D155),"")</f>
        <v/>
      </c>
    </row>
    <row r="156">
      <c r="A156">
        <f>A155+1</f>
        <v/>
      </c>
      <c r="B156">
        <f>IF(AdoptionRamp&lt;=0,1,MIN(1,A156/AdoptionRamp))</f>
        <v/>
      </c>
      <c r="C156">
        <f>Model!$B$8*B156</f>
        <v/>
      </c>
      <c r="D156">
        <f>C156*Model!$B$7-MonthlyRunCost</f>
        <v/>
      </c>
      <c r="E156" t="n">
        <v>0</v>
      </c>
      <c r="F156">
        <f>F155+D156</f>
        <v/>
      </c>
      <c r="H156">
        <f>IF(AND(F156&gt;=0,F155&lt;0),(A156-1)+IF(D156&lt;=0,0,-F155/D156),"")</f>
        <v/>
      </c>
    </row>
    <row r="157">
      <c r="A157">
        <f>A156+1</f>
        <v/>
      </c>
      <c r="B157">
        <f>IF(AdoptionRamp&lt;=0,1,MIN(1,A157/AdoptionRamp))</f>
        <v/>
      </c>
      <c r="C157">
        <f>Model!$B$8*B157</f>
        <v/>
      </c>
      <c r="D157">
        <f>C157*Model!$B$7-MonthlyRunCost</f>
        <v/>
      </c>
      <c r="E157" t="n">
        <v>0</v>
      </c>
      <c r="F157">
        <f>F156+D157</f>
        <v/>
      </c>
      <c r="H157">
        <f>IF(AND(F157&gt;=0,F156&lt;0),(A157-1)+IF(D157&lt;=0,0,-F156/D157),"")</f>
        <v/>
      </c>
    </row>
    <row r="158">
      <c r="A158">
        <f>A157+1</f>
        <v/>
      </c>
      <c r="B158">
        <f>IF(AdoptionRamp&lt;=0,1,MIN(1,A158/AdoptionRamp))</f>
        <v/>
      </c>
      <c r="C158">
        <f>Model!$B$8*B158</f>
        <v/>
      </c>
      <c r="D158">
        <f>C158*Model!$B$7-MonthlyRunCost</f>
        <v/>
      </c>
      <c r="E158" t="n">
        <v>0</v>
      </c>
      <c r="F158">
        <f>F157+D158</f>
        <v/>
      </c>
      <c r="H158">
        <f>IF(AND(F158&gt;=0,F157&lt;0),(A158-1)+IF(D158&lt;=0,0,-F157/D158),"")</f>
        <v/>
      </c>
    </row>
    <row r="159">
      <c r="A159">
        <f>A158+1</f>
        <v/>
      </c>
      <c r="B159">
        <f>IF(AdoptionRamp&lt;=0,1,MIN(1,A159/AdoptionRamp))</f>
        <v/>
      </c>
      <c r="C159">
        <f>Model!$B$8*B159</f>
        <v/>
      </c>
      <c r="D159">
        <f>C159*Model!$B$7-MonthlyRunCost</f>
        <v/>
      </c>
      <c r="E159" t="n">
        <v>0</v>
      </c>
      <c r="F159">
        <f>F158+D159</f>
        <v/>
      </c>
      <c r="H159">
        <f>IF(AND(F159&gt;=0,F158&lt;0),(A159-1)+IF(D159&lt;=0,0,-F158/D159),"")</f>
        <v/>
      </c>
    </row>
    <row r="160">
      <c r="A160">
        <f>A159+1</f>
        <v/>
      </c>
      <c r="B160">
        <f>IF(AdoptionRamp&lt;=0,1,MIN(1,A160/AdoptionRamp))</f>
        <v/>
      </c>
      <c r="C160">
        <f>Model!$B$8*B160</f>
        <v/>
      </c>
      <c r="D160">
        <f>C160*Model!$B$7-MonthlyRunCost</f>
        <v/>
      </c>
      <c r="E160" t="n">
        <v>0</v>
      </c>
      <c r="F160">
        <f>F159+D160</f>
        <v/>
      </c>
      <c r="H160">
        <f>IF(AND(F160&gt;=0,F159&lt;0),(A160-1)+IF(D160&lt;=0,0,-F159/D160),"")</f>
        <v/>
      </c>
    </row>
    <row r="161">
      <c r="A161">
        <f>A160+1</f>
        <v/>
      </c>
      <c r="B161">
        <f>IF(AdoptionRamp&lt;=0,1,MIN(1,A161/AdoptionRamp))</f>
        <v/>
      </c>
      <c r="C161">
        <f>Model!$B$8*B161</f>
        <v/>
      </c>
      <c r="D161">
        <f>C161*Model!$B$7-MonthlyRunCost</f>
        <v/>
      </c>
      <c r="E161" t="n">
        <v>0</v>
      </c>
      <c r="F161">
        <f>F160+D161</f>
        <v/>
      </c>
      <c r="H161">
        <f>IF(AND(F161&gt;=0,F160&lt;0),(A161-1)+IF(D161&lt;=0,0,-F160/D161),"")</f>
        <v/>
      </c>
    </row>
    <row r="162">
      <c r="A162">
        <f>A161+1</f>
        <v/>
      </c>
      <c r="B162">
        <f>IF(AdoptionRamp&lt;=0,1,MIN(1,A162/AdoptionRamp))</f>
        <v/>
      </c>
      <c r="C162">
        <f>Model!$B$8*B162</f>
        <v/>
      </c>
      <c r="D162">
        <f>C162*Model!$B$7-MonthlyRunCost</f>
        <v/>
      </c>
      <c r="E162" t="n">
        <v>0</v>
      </c>
      <c r="F162">
        <f>F161+D162</f>
        <v/>
      </c>
      <c r="H162">
        <f>IF(AND(F162&gt;=0,F161&lt;0),(A162-1)+IF(D162&lt;=0,0,-F161/D162),"")</f>
        <v/>
      </c>
    </row>
    <row r="163">
      <c r="A163">
        <f>A162+1</f>
        <v/>
      </c>
      <c r="B163">
        <f>IF(AdoptionRamp&lt;=0,1,MIN(1,A163/AdoptionRamp))</f>
        <v/>
      </c>
      <c r="C163">
        <f>Model!$B$8*B163</f>
        <v/>
      </c>
      <c r="D163">
        <f>C163*Model!$B$7-MonthlyRunCost</f>
        <v/>
      </c>
      <c r="E163" t="n">
        <v>0</v>
      </c>
      <c r="F163">
        <f>F162+D163</f>
        <v/>
      </c>
      <c r="H163">
        <f>IF(AND(F163&gt;=0,F162&lt;0),(A163-1)+IF(D163&lt;=0,0,-F162/D163),"")</f>
        <v/>
      </c>
    </row>
    <row r="164">
      <c r="A164">
        <f>A163+1</f>
        <v/>
      </c>
      <c r="B164">
        <f>IF(AdoptionRamp&lt;=0,1,MIN(1,A164/AdoptionRamp))</f>
        <v/>
      </c>
      <c r="C164">
        <f>Model!$B$8*B164</f>
        <v/>
      </c>
      <c r="D164">
        <f>C164*Model!$B$7-MonthlyRunCost</f>
        <v/>
      </c>
      <c r="E164" t="n">
        <v>0</v>
      </c>
      <c r="F164">
        <f>F163+D164</f>
        <v/>
      </c>
      <c r="H164">
        <f>IF(AND(F164&gt;=0,F163&lt;0),(A164-1)+IF(D164&lt;=0,0,-F163/D164),"")</f>
        <v/>
      </c>
    </row>
    <row r="165">
      <c r="A165">
        <f>A164+1</f>
        <v/>
      </c>
      <c r="B165">
        <f>IF(AdoptionRamp&lt;=0,1,MIN(1,A165/AdoptionRamp))</f>
        <v/>
      </c>
      <c r="C165">
        <f>Model!$B$8*B165</f>
        <v/>
      </c>
      <c r="D165">
        <f>C165*Model!$B$7-MonthlyRunCost</f>
        <v/>
      </c>
      <c r="E165" t="n">
        <v>0</v>
      </c>
      <c r="F165">
        <f>F164+D165</f>
        <v/>
      </c>
      <c r="H165">
        <f>IF(AND(F165&gt;=0,F164&lt;0),(A165-1)+IF(D165&lt;=0,0,-F164/D165),"")</f>
        <v/>
      </c>
    </row>
    <row r="166">
      <c r="A166">
        <f>A165+1</f>
        <v/>
      </c>
      <c r="B166">
        <f>IF(AdoptionRamp&lt;=0,1,MIN(1,A166/AdoptionRamp))</f>
        <v/>
      </c>
      <c r="C166">
        <f>Model!$B$8*B166</f>
        <v/>
      </c>
      <c r="D166">
        <f>C166*Model!$B$7-MonthlyRunCost</f>
        <v/>
      </c>
      <c r="E166" t="n">
        <v>0</v>
      </c>
      <c r="F166">
        <f>F165+D166</f>
        <v/>
      </c>
      <c r="H166">
        <f>IF(AND(F166&gt;=0,F165&lt;0),(A166-1)+IF(D166&lt;=0,0,-F165/D166),"")</f>
        <v/>
      </c>
    </row>
    <row r="167">
      <c r="A167">
        <f>A166+1</f>
        <v/>
      </c>
      <c r="B167">
        <f>IF(AdoptionRamp&lt;=0,1,MIN(1,A167/AdoptionRamp))</f>
        <v/>
      </c>
      <c r="C167">
        <f>Model!$B$8*B167</f>
        <v/>
      </c>
      <c r="D167">
        <f>C167*Model!$B$7-MonthlyRunCost</f>
        <v/>
      </c>
      <c r="E167" t="n">
        <v>0</v>
      </c>
      <c r="F167">
        <f>F166+D167</f>
        <v/>
      </c>
      <c r="H167">
        <f>IF(AND(F167&gt;=0,F166&lt;0),(A167-1)+IF(D167&lt;=0,0,-F166/D167),"")</f>
        <v/>
      </c>
    </row>
    <row r="168">
      <c r="A168">
        <f>A167+1</f>
        <v/>
      </c>
      <c r="B168">
        <f>IF(AdoptionRamp&lt;=0,1,MIN(1,A168/AdoptionRamp))</f>
        <v/>
      </c>
      <c r="C168">
        <f>Model!$B$8*B168</f>
        <v/>
      </c>
      <c r="D168">
        <f>C168*Model!$B$7-MonthlyRunCost</f>
        <v/>
      </c>
      <c r="E168" t="n">
        <v>0</v>
      </c>
      <c r="F168">
        <f>F167+D168</f>
        <v/>
      </c>
      <c r="H168">
        <f>IF(AND(F168&gt;=0,F167&lt;0),(A168-1)+IF(D168&lt;=0,0,-F167/D168),"")</f>
        <v/>
      </c>
    </row>
    <row r="169">
      <c r="A169">
        <f>A168+1</f>
        <v/>
      </c>
      <c r="B169">
        <f>IF(AdoptionRamp&lt;=0,1,MIN(1,A169/AdoptionRamp))</f>
        <v/>
      </c>
      <c r="C169">
        <f>Model!$B$8*B169</f>
        <v/>
      </c>
      <c r="D169">
        <f>C169*Model!$B$7-MonthlyRunCost</f>
        <v/>
      </c>
      <c r="E169" t="n">
        <v>0</v>
      </c>
      <c r="F169">
        <f>F168+D169</f>
        <v/>
      </c>
      <c r="H169">
        <f>IF(AND(F169&gt;=0,F168&lt;0),(A169-1)+IF(D169&lt;=0,0,-F168/D169),"")</f>
        <v/>
      </c>
    </row>
    <row r="170">
      <c r="A170">
        <f>A169+1</f>
        <v/>
      </c>
      <c r="B170">
        <f>IF(AdoptionRamp&lt;=0,1,MIN(1,A170/AdoptionRamp))</f>
        <v/>
      </c>
      <c r="C170">
        <f>Model!$B$8*B170</f>
        <v/>
      </c>
      <c r="D170">
        <f>C170*Model!$B$7-MonthlyRunCost</f>
        <v/>
      </c>
      <c r="E170" t="n">
        <v>0</v>
      </c>
      <c r="F170">
        <f>F169+D170</f>
        <v/>
      </c>
      <c r="H170">
        <f>IF(AND(F170&gt;=0,F169&lt;0),(A170-1)+IF(D170&lt;=0,0,-F169/D170),"")</f>
        <v/>
      </c>
    </row>
    <row r="171">
      <c r="A171">
        <f>A170+1</f>
        <v/>
      </c>
      <c r="B171">
        <f>IF(AdoptionRamp&lt;=0,1,MIN(1,A171/AdoptionRamp))</f>
        <v/>
      </c>
      <c r="C171">
        <f>Model!$B$8*B171</f>
        <v/>
      </c>
      <c r="D171">
        <f>C171*Model!$B$7-MonthlyRunCost</f>
        <v/>
      </c>
      <c r="E171" t="n">
        <v>0</v>
      </c>
      <c r="F171">
        <f>F170+D171</f>
        <v/>
      </c>
      <c r="H171">
        <f>IF(AND(F171&gt;=0,F170&lt;0),(A171-1)+IF(D171&lt;=0,0,-F170/D171),"")</f>
        <v/>
      </c>
    </row>
    <row r="172">
      <c r="A172">
        <f>A171+1</f>
        <v/>
      </c>
      <c r="B172">
        <f>IF(AdoptionRamp&lt;=0,1,MIN(1,A172/AdoptionRamp))</f>
        <v/>
      </c>
      <c r="C172">
        <f>Model!$B$8*B172</f>
        <v/>
      </c>
      <c r="D172">
        <f>C172*Model!$B$7-MonthlyRunCost</f>
        <v/>
      </c>
      <c r="E172" t="n">
        <v>0</v>
      </c>
      <c r="F172">
        <f>F171+D172</f>
        <v/>
      </c>
      <c r="H172">
        <f>IF(AND(F172&gt;=0,F171&lt;0),(A172-1)+IF(D172&lt;=0,0,-F171/D172),"")</f>
        <v/>
      </c>
    </row>
    <row r="173">
      <c r="A173">
        <f>A172+1</f>
        <v/>
      </c>
      <c r="B173">
        <f>IF(AdoptionRamp&lt;=0,1,MIN(1,A173/AdoptionRamp))</f>
        <v/>
      </c>
      <c r="C173">
        <f>Model!$B$8*B173</f>
        <v/>
      </c>
      <c r="D173">
        <f>C173*Model!$B$7-MonthlyRunCost</f>
        <v/>
      </c>
      <c r="E173" t="n">
        <v>0</v>
      </c>
      <c r="F173">
        <f>F172+D173</f>
        <v/>
      </c>
      <c r="H173">
        <f>IF(AND(F173&gt;=0,F172&lt;0),(A173-1)+IF(D173&lt;=0,0,-F172/D173),"")</f>
        <v/>
      </c>
    </row>
    <row r="174">
      <c r="A174">
        <f>A173+1</f>
        <v/>
      </c>
      <c r="B174">
        <f>IF(AdoptionRamp&lt;=0,1,MIN(1,A174/AdoptionRamp))</f>
        <v/>
      </c>
      <c r="C174">
        <f>Model!$B$8*B174</f>
        <v/>
      </c>
      <c r="D174">
        <f>C174*Model!$B$7-MonthlyRunCost</f>
        <v/>
      </c>
      <c r="E174" t="n">
        <v>0</v>
      </c>
      <c r="F174">
        <f>F173+D174</f>
        <v/>
      </c>
      <c r="H174">
        <f>IF(AND(F174&gt;=0,F173&lt;0),(A174-1)+IF(D174&lt;=0,0,-F173/D174),"")</f>
        <v/>
      </c>
    </row>
    <row r="175">
      <c r="A175">
        <f>A174+1</f>
        <v/>
      </c>
      <c r="B175">
        <f>IF(AdoptionRamp&lt;=0,1,MIN(1,A175/AdoptionRamp))</f>
        <v/>
      </c>
      <c r="C175">
        <f>Model!$B$8*B175</f>
        <v/>
      </c>
      <c r="D175">
        <f>C175*Model!$B$7-MonthlyRunCost</f>
        <v/>
      </c>
      <c r="E175" t="n">
        <v>0</v>
      </c>
      <c r="F175">
        <f>F174+D175</f>
        <v/>
      </c>
      <c r="H175">
        <f>IF(AND(F175&gt;=0,F174&lt;0),(A175-1)+IF(D175&lt;=0,0,-F174/D175),"")</f>
        <v/>
      </c>
    </row>
    <row r="176">
      <c r="A176">
        <f>A175+1</f>
        <v/>
      </c>
      <c r="B176">
        <f>IF(AdoptionRamp&lt;=0,1,MIN(1,A176/AdoptionRamp))</f>
        <v/>
      </c>
      <c r="C176">
        <f>Model!$B$8*B176</f>
        <v/>
      </c>
      <c r="D176">
        <f>C176*Model!$B$7-MonthlyRunCost</f>
        <v/>
      </c>
      <c r="E176" t="n">
        <v>0</v>
      </c>
      <c r="F176">
        <f>F175+D176</f>
        <v/>
      </c>
      <c r="H176">
        <f>IF(AND(F176&gt;=0,F175&lt;0),(A176-1)+IF(D176&lt;=0,0,-F175/D176),"")</f>
        <v/>
      </c>
    </row>
    <row r="177">
      <c r="A177">
        <f>A176+1</f>
        <v/>
      </c>
      <c r="B177">
        <f>IF(AdoptionRamp&lt;=0,1,MIN(1,A177/AdoptionRamp))</f>
        <v/>
      </c>
      <c r="C177">
        <f>Model!$B$8*B177</f>
        <v/>
      </c>
      <c r="D177">
        <f>C177*Model!$B$7-MonthlyRunCost</f>
        <v/>
      </c>
      <c r="E177" t="n">
        <v>0</v>
      </c>
      <c r="F177">
        <f>F176+D177</f>
        <v/>
      </c>
      <c r="H177">
        <f>IF(AND(F177&gt;=0,F176&lt;0),(A177-1)+IF(D177&lt;=0,0,-F176/D177),"")</f>
        <v/>
      </c>
    </row>
    <row r="178">
      <c r="A178">
        <f>A177+1</f>
        <v/>
      </c>
      <c r="B178">
        <f>IF(AdoptionRamp&lt;=0,1,MIN(1,A178/AdoptionRamp))</f>
        <v/>
      </c>
      <c r="C178">
        <f>Model!$B$8*B178</f>
        <v/>
      </c>
      <c r="D178">
        <f>C178*Model!$B$7-MonthlyRunCost</f>
        <v/>
      </c>
      <c r="E178" t="n">
        <v>0</v>
      </c>
      <c r="F178">
        <f>F177+D178</f>
        <v/>
      </c>
      <c r="H178">
        <f>IF(AND(F178&gt;=0,F177&lt;0),(A178-1)+IF(D178&lt;=0,0,-F177/D178),"")</f>
        <v/>
      </c>
    </row>
    <row r="179">
      <c r="A179">
        <f>A178+1</f>
        <v/>
      </c>
      <c r="B179">
        <f>IF(AdoptionRamp&lt;=0,1,MIN(1,A179/AdoptionRamp))</f>
        <v/>
      </c>
      <c r="C179">
        <f>Model!$B$8*B179</f>
        <v/>
      </c>
      <c r="D179">
        <f>C179*Model!$B$7-MonthlyRunCost</f>
        <v/>
      </c>
      <c r="E179" t="n">
        <v>0</v>
      </c>
      <c r="F179">
        <f>F178+D179</f>
        <v/>
      </c>
      <c r="H179">
        <f>IF(AND(F179&gt;=0,F178&lt;0),(A179-1)+IF(D179&lt;=0,0,-F178/D179),"")</f>
        <v/>
      </c>
    </row>
    <row r="180">
      <c r="A180">
        <f>A179+1</f>
        <v/>
      </c>
      <c r="B180">
        <f>IF(AdoptionRamp&lt;=0,1,MIN(1,A180/AdoptionRamp))</f>
        <v/>
      </c>
      <c r="C180">
        <f>Model!$B$8*B180</f>
        <v/>
      </c>
      <c r="D180">
        <f>C180*Model!$B$7-MonthlyRunCost</f>
        <v/>
      </c>
      <c r="E180" t="n">
        <v>0</v>
      </c>
      <c r="F180">
        <f>F179+D180</f>
        <v/>
      </c>
      <c r="H180">
        <f>IF(AND(F180&gt;=0,F179&lt;0),(A180-1)+IF(D180&lt;=0,0,-F179/D180),"")</f>
        <v/>
      </c>
    </row>
    <row r="181">
      <c r="A181">
        <f>A180+1</f>
        <v/>
      </c>
      <c r="B181">
        <f>IF(AdoptionRamp&lt;=0,1,MIN(1,A181/AdoptionRamp))</f>
        <v/>
      </c>
      <c r="C181">
        <f>Model!$B$8*B181</f>
        <v/>
      </c>
      <c r="D181">
        <f>C181*Model!$B$7-MonthlyRunCost</f>
        <v/>
      </c>
      <c r="E181" t="n">
        <v>0</v>
      </c>
      <c r="F181">
        <f>F180+D181</f>
        <v/>
      </c>
      <c r="H181">
        <f>IF(AND(F181&gt;=0,F180&lt;0),(A181-1)+IF(D181&lt;=0,0,-F180/D181),"")</f>
        <v/>
      </c>
    </row>
    <row r="182">
      <c r="A182">
        <f>A181+1</f>
        <v/>
      </c>
      <c r="B182">
        <f>IF(AdoptionRamp&lt;=0,1,MIN(1,A182/AdoptionRamp))</f>
        <v/>
      </c>
      <c r="C182">
        <f>Model!$B$8*B182</f>
        <v/>
      </c>
      <c r="D182">
        <f>C182*Model!$B$7-MonthlyRunCost</f>
        <v/>
      </c>
      <c r="E182" t="n">
        <v>0</v>
      </c>
      <c r="F182">
        <f>F181+D182</f>
        <v/>
      </c>
      <c r="H182">
        <f>IF(AND(F182&gt;=0,F181&lt;0),(A182-1)+IF(D182&lt;=0,0,-F181/D182),"")</f>
        <v/>
      </c>
    </row>
    <row r="183">
      <c r="A183">
        <f>A182+1</f>
        <v/>
      </c>
      <c r="B183">
        <f>IF(AdoptionRamp&lt;=0,1,MIN(1,A183/AdoptionRamp))</f>
        <v/>
      </c>
      <c r="C183">
        <f>Model!$B$8*B183</f>
        <v/>
      </c>
      <c r="D183">
        <f>C183*Model!$B$7-MonthlyRunCost</f>
        <v/>
      </c>
      <c r="E183" t="n">
        <v>0</v>
      </c>
      <c r="F183">
        <f>F182+D183</f>
        <v/>
      </c>
      <c r="H183">
        <f>IF(AND(F183&gt;=0,F182&lt;0),(A183-1)+IF(D183&lt;=0,0,-F182/D183),"")</f>
        <v/>
      </c>
    </row>
    <row r="184">
      <c r="A184">
        <f>A183+1</f>
        <v/>
      </c>
      <c r="B184">
        <f>IF(AdoptionRamp&lt;=0,1,MIN(1,A184/AdoptionRamp))</f>
        <v/>
      </c>
      <c r="C184">
        <f>Model!$B$8*B184</f>
        <v/>
      </c>
      <c r="D184">
        <f>C184*Model!$B$7-MonthlyRunCost</f>
        <v/>
      </c>
      <c r="E184" t="n">
        <v>0</v>
      </c>
      <c r="F184">
        <f>F183+D184</f>
        <v/>
      </c>
      <c r="H184">
        <f>IF(AND(F184&gt;=0,F183&lt;0),(A184-1)+IF(D184&lt;=0,0,-F183/D184),"")</f>
        <v/>
      </c>
    </row>
    <row r="185">
      <c r="A185">
        <f>A184+1</f>
        <v/>
      </c>
      <c r="B185">
        <f>IF(AdoptionRamp&lt;=0,1,MIN(1,A185/AdoptionRamp))</f>
        <v/>
      </c>
      <c r="C185">
        <f>Model!$B$8*B185</f>
        <v/>
      </c>
      <c r="D185">
        <f>C185*Model!$B$7-MonthlyRunCost</f>
        <v/>
      </c>
      <c r="E185" t="n">
        <v>0</v>
      </c>
      <c r="F185">
        <f>F184+D185</f>
        <v/>
      </c>
      <c r="H185">
        <f>IF(AND(F185&gt;=0,F184&lt;0),(A185-1)+IF(D185&lt;=0,0,-F184/D185),"")</f>
        <v/>
      </c>
    </row>
    <row r="186">
      <c r="A186">
        <f>A185+1</f>
        <v/>
      </c>
      <c r="B186">
        <f>IF(AdoptionRamp&lt;=0,1,MIN(1,A186/AdoptionRamp))</f>
        <v/>
      </c>
      <c r="C186">
        <f>Model!$B$8*B186</f>
        <v/>
      </c>
      <c r="D186">
        <f>C186*Model!$B$7-MonthlyRunCost</f>
        <v/>
      </c>
      <c r="E186" t="n">
        <v>0</v>
      </c>
      <c r="F186">
        <f>F185+D186</f>
        <v/>
      </c>
      <c r="H186">
        <f>IF(AND(F186&gt;=0,F185&lt;0),(A186-1)+IF(D186&lt;=0,0,-F185/D186),"")</f>
        <v/>
      </c>
    </row>
    <row r="187">
      <c r="A187">
        <f>A186+1</f>
        <v/>
      </c>
      <c r="B187">
        <f>IF(AdoptionRamp&lt;=0,1,MIN(1,A187/AdoptionRamp))</f>
        <v/>
      </c>
      <c r="C187">
        <f>Model!$B$8*B187</f>
        <v/>
      </c>
      <c r="D187">
        <f>C187*Model!$B$7-MonthlyRunCost</f>
        <v/>
      </c>
      <c r="E187" t="n">
        <v>0</v>
      </c>
      <c r="F187">
        <f>F186+D187</f>
        <v/>
      </c>
      <c r="H187">
        <f>IF(AND(F187&gt;=0,F186&lt;0),(A187-1)+IF(D187&lt;=0,0,-F186/D187),"")</f>
        <v/>
      </c>
    </row>
    <row r="188">
      <c r="A188">
        <f>A187+1</f>
        <v/>
      </c>
      <c r="B188">
        <f>IF(AdoptionRamp&lt;=0,1,MIN(1,A188/AdoptionRamp))</f>
        <v/>
      </c>
      <c r="C188">
        <f>Model!$B$8*B188</f>
        <v/>
      </c>
      <c r="D188">
        <f>C188*Model!$B$7-MonthlyRunCost</f>
        <v/>
      </c>
      <c r="E188" t="n">
        <v>0</v>
      </c>
      <c r="F188">
        <f>F187+D188</f>
        <v/>
      </c>
      <c r="H188">
        <f>IF(AND(F188&gt;=0,F187&lt;0),(A188-1)+IF(D188&lt;=0,0,-F187/D188),"")</f>
        <v/>
      </c>
    </row>
    <row r="189">
      <c r="A189">
        <f>A188+1</f>
        <v/>
      </c>
      <c r="B189">
        <f>IF(AdoptionRamp&lt;=0,1,MIN(1,A189/AdoptionRamp))</f>
        <v/>
      </c>
      <c r="C189">
        <f>Model!$B$8*B189</f>
        <v/>
      </c>
      <c r="D189">
        <f>C189*Model!$B$7-MonthlyRunCost</f>
        <v/>
      </c>
      <c r="E189" t="n">
        <v>0</v>
      </c>
      <c r="F189">
        <f>F188+D189</f>
        <v/>
      </c>
      <c r="H189">
        <f>IF(AND(F189&gt;=0,F188&lt;0),(A189-1)+IF(D189&lt;=0,0,-F188/D189),"")</f>
        <v/>
      </c>
    </row>
    <row r="190">
      <c r="A190">
        <f>A189+1</f>
        <v/>
      </c>
      <c r="B190">
        <f>IF(AdoptionRamp&lt;=0,1,MIN(1,A190/AdoptionRamp))</f>
        <v/>
      </c>
      <c r="C190">
        <f>Model!$B$8*B190</f>
        <v/>
      </c>
      <c r="D190">
        <f>C190*Model!$B$7-MonthlyRunCost</f>
        <v/>
      </c>
      <c r="E190" t="n">
        <v>0</v>
      </c>
      <c r="F190">
        <f>F189+D190</f>
        <v/>
      </c>
      <c r="H190">
        <f>IF(AND(F190&gt;=0,F189&lt;0),(A190-1)+IF(D190&lt;=0,0,-F189/D190),"")</f>
        <v/>
      </c>
    </row>
    <row r="191">
      <c r="A191">
        <f>A190+1</f>
        <v/>
      </c>
      <c r="B191">
        <f>IF(AdoptionRamp&lt;=0,1,MIN(1,A191/AdoptionRamp))</f>
        <v/>
      </c>
      <c r="C191">
        <f>Model!$B$8*B191</f>
        <v/>
      </c>
      <c r="D191">
        <f>C191*Model!$B$7-MonthlyRunCost</f>
        <v/>
      </c>
      <c r="E191" t="n">
        <v>0</v>
      </c>
      <c r="F191">
        <f>F190+D191</f>
        <v/>
      </c>
      <c r="H191">
        <f>IF(AND(F191&gt;=0,F190&lt;0),(A191-1)+IF(D191&lt;=0,0,-F190/D191),"")</f>
        <v/>
      </c>
    </row>
    <row r="192">
      <c r="A192">
        <f>A191+1</f>
        <v/>
      </c>
      <c r="B192">
        <f>IF(AdoptionRamp&lt;=0,1,MIN(1,A192/AdoptionRamp))</f>
        <v/>
      </c>
      <c r="C192">
        <f>Model!$B$8*B192</f>
        <v/>
      </c>
      <c r="D192">
        <f>C192*Model!$B$7-MonthlyRunCost</f>
        <v/>
      </c>
      <c r="E192" t="n">
        <v>0</v>
      </c>
      <c r="F192">
        <f>F191+D192</f>
        <v/>
      </c>
      <c r="H192">
        <f>IF(AND(F192&gt;=0,F191&lt;0),(A192-1)+IF(D192&lt;=0,0,-F191/D192),"")</f>
        <v/>
      </c>
    </row>
    <row r="193">
      <c r="A193">
        <f>A192+1</f>
        <v/>
      </c>
      <c r="B193">
        <f>IF(AdoptionRamp&lt;=0,1,MIN(1,A193/AdoptionRamp))</f>
        <v/>
      </c>
      <c r="C193">
        <f>Model!$B$8*B193</f>
        <v/>
      </c>
      <c r="D193">
        <f>C193*Model!$B$7-MonthlyRunCost</f>
        <v/>
      </c>
      <c r="E193" t="n">
        <v>0</v>
      </c>
      <c r="F193">
        <f>F192+D193</f>
        <v/>
      </c>
      <c r="H193">
        <f>IF(AND(F193&gt;=0,F192&lt;0),(A193-1)+IF(D193&lt;=0,0,-F192/D193),"")</f>
        <v/>
      </c>
    </row>
    <row r="194">
      <c r="A194">
        <f>A193+1</f>
        <v/>
      </c>
      <c r="B194">
        <f>IF(AdoptionRamp&lt;=0,1,MIN(1,A194/AdoptionRamp))</f>
        <v/>
      </c>
      <c r="C194">
        <f>Model!$B$8*B194</f>
        <v/>
      </c>
      <c r="D194">
        <f>C194*Model!$B$7-MonthlyRunCost</f>
        <v/>
      </c>
      <c r="E194" t="n">
        <v>0</v>
      </c>
      <c r="F194">
        <f>F193+D194</f>
        <v/>
      </c>
      <c r="H194">
        <f>IF(AND(F194&gt;=0,F193&lt;0),(A194-1)+IF(D194&lt;=0,0,-F193/D194),"")</f>
        <v/>
      </c>
    </row>
    <row r="195">
      <c r="A195">
        <f>A194+1</f>
        <v/>
      </c>
      <c r="B195">
        <f>IF(AdoptionRamp&lt;=0,1,MIN(1,A195/AdoptionRamp))</f>
        <v/>
      </c>
      <c r="C195">
        <f>Model!$B$8*B195</f>
        <v/>
      </c>
      <c r="D195">
        <f>C195*Model!$B$7-MonthlyRunCost</f>
        <v/>
      </c>
      <c r="E195" t="n">
        <v>0</v>
      </c>
      <c r="F195">
        <f>F194+D195</f>
        <v/>
      </c>
      <c r="H195">
        <f>IF(AND(F195&gt;=0,F194&lt;0),(A195-1)+IF(D195&lt;=0,0,-F194/D195),"")</f>
        <v/>
      </c>
    </row>
    <row r="196">
      <c r="A196">
        <f>A195+1</f>
        <v/>
      </c>
      <c r="B196">
        <f>IF(AdoptionRamp&lt;=0,1,MIN(1,A196/AdoptionRamp))</f>
        <v/>
      </c>
      <c r="C196">
        <f>Model!$B$8*B196</f>
        <v/>
      </c>
      <c r="D196">
        <f>C196*Model!$B$7-MonthlyRunCost</f>
        <v/>
      </c>
      <c r="E196" t="n">
        <v>0</v>
      </c>
      <c r="F196">
        <f>F195+D196</f>
        <v/>
      </c>
      <c r="H196">
        <f>IF(AND(F196&gt;=0,F195&lt;0),(A196-1)+IF(D196&lt;=0,0,-F195/D196),"")</f>
        <v/>
      </c>
    </row>
    <row r="197">
      <c r="A197">
        <f>A196+1</f>
        <v/>
      </c>
      <c r="B197">
        <f>IF(AdoptionRamp&lt;=0,1,MIN(1,A197/AdoptionRamp))</f>
        <v/>
      </c>
      <c r="C197">
        <f>Model!$B$8*B197</f>
        <v/>
      </c>
      <c r="D197">
        <f>C197*Model!$B$7-MonthlyRunCost</f>
        <v/>
      </c>
      <c r="E197" t="n">
        <v>0</v>
      </c>
      <c r="F197">
        <f>F196+D197</f>
        <v/>
      </c>
      <c r="H197">
        <f>IF(AND(F197&gt;=0,F196&lt;0),(A197-1)+IF(D197&lt;=0,0,-F196/D197),"")</f>
        <v/>
      </c>
    </row>
    <row r="198">
      <c r="A198">
        <f>A197+1</f>
        <v/>
      </c>
      <c r="B198">
        <f>IF(AdoptionRamp&lt;=0,1,MIN(1,A198/AdoptionRamp))</f>
        <v/>
      </c>
      <c r="C198">
        <f>Model!$B$8*B198</f>
        <v/>
      </c>
      <c r="D198">
        <f>C198*Model!$B$7-MonthlyRunCost</f>
        <v/>
      </c>
      <c r="E198" t="n">
        <v>0</v>
      </c>
      <c r="F198">
        <f>F197+D198</f>
        <v/>
      </c>
      <c r="H198">
        <f>IF(AND(F198&gt;=0,F197&lt;0),(A198-1)+IF(D198&lt;=0,0,-F197/D198),"")</f>
        <v/>
      </c>
    </row>
    <row r="199">
      <c r="A199">
        <f>A198+1</f>
        <v/>
      </c>
      <c r="B199">
        <f>IF(AdoptionRamp&lt;=0,1,MIN(1,A199/AdoptionRamp))</f>
        <v/>
      </c>
      <c r="C199">
        <f>Model!$B$8*B199</f>
        <v/>
      </c>
      <c r="D199">
        <f>C199*Model!$B$7-MonthlyRunCost</f>
        <v/>
      </c>
      <c r="E199" t="n">
        <v>0</v>
      </c>
      <c r="F199">
        <f>F198+D199</f>
        <v/>
      </c>
      <c r="H199">
        <f>IF(AND(F199&gt;=0,F198&lt;0),(A199-1)+IF(D199&lt;=0,0,-F198/D199),"")</f>
        <v/>
      </c>
    </row>
    <row r="200">
      <c r="A200">
        <f>A199+1</f>
        <v/>
      </c>
      <c r="B200">
        <f>IF(AdoptionRamp&lt;=0,1,MIN(1,A200/AdoptionRamp))</f>
        <v/>
      </c>
      <c r="C200">
        <f>Model!$B$8*B200</f>
        <v/>
      </c>
      <c r="D200">
        <f>C200*Model!$B$7-MonthlyRunCost</f>
        <v/>
      </c>
      <c r="E200" t="n">
        <v>0</v>
      </c>
      <c r="F200">
        <f>F199+D200</f>
        <v/>
      </c>
      <c r="H200">
        <f>IF(AND(F200&gt;=0,F199&lt;0),(A200-1)+IF(D200&lt;=0,0,-F199/D200),"")</f>
        <v/>
      </c>
    </row>
    <row r="201">
      <c r="A201">
        <f>A200+1</f>
        <v/>
      </c>
      <c r="B201">
        <f>IF(AdoptionRamp&lt;=0,1,MIN(1,A201/AdoptionRamp))</f>
        <v/>
      </c>
      <c r="C201">
        <f>Model!$B$8*B201</f>
        <v/>
      </c>
      <c r="D201">
        <f>C201*Model!$B$7-MonthlyRunCost</f>
        <v/>
      </c>
      <c r="E201" t="n">
        <v>0</v>
      </c>
      <c r="F201">
        <f>F200+D201</f>
        <v/>
      </c>
      <c r="H201">
        <f>IF(AND(F201&gt;=0,F200&lt;0),(A201-1)+IF(D201&lt;=0,0,-F200/D201),"")</f>
        <v/>
      </c>
    </row>
    <row r="202">
      <c r="A202">
        <f>A201+1</f>
        <v/>
      </c>
      <c r="B202">
        <f>IF(AdoptionRamp&lt;=0,1,MIN(1,A202/AdoptionRamp))</f>
        <v/>
      </c>
      <c r="C202">
        <f>Model!$B$8*B202</f>
        <v/>
      </c>
      <c r="D202">
        <f>C202*Model!$B$7-MonthlyRunCost</f>
        <v/>
      </c>
      <c r="E202" t="n">
        <v>0</v>
      </c>
      <c r="F202">
        <f>F201+D202</f>
        <v/>
      </c>
      <c r="H202">
        <f>IF(AND(F202&gt;=0,F201&lt;0),(A202-1)+IF(D202&lt;=0,0,-F201/D202),"")</f>
        <v/>
      </c>
    </row>
    <row r="203">
      <c r="A203">
        <f>A202+1</f>
        <v/>
      </c>
      <c r="B203">
        <f>IF(AdoptionRamp&lt;=0,1,MIN(1,A203/AdoptionRamp))</f>
        <v/>
      </c>
      <c r="C203">
        <f>Model!$B$8*B203</f>
        <v/>
      </c>
      <c r="D203">
        <f>C203*Model!$B$7-MonthlyRunCost</f>
        <v/>
      </c>
      <c r="E203" t="n">
        <v>0</v>
      </c>
      <c r="F203">
        <f>F202+D203</f>
        <v/>
      </c>
      <c r="H203">
        <f>IF(AND(F203&gt;=0,F202&lt;0),(A203-1)+IF(D203&lt;=0,0,-F202/D203),"")</f>
        <v/>
      </c>
    </row>
    <row r="204">
      <c r="A204">
        <f>A203+1</f>
        <v/>
      </c>
      <c r="B204">
        <f>IF(AdoptionRamp&lt;=0,1,MIN(1,A204/AdoptionRamp))</f>
        <v/>
      </c>
      <c r="C204">
        <f>Model!$B$8*B204</f>
        <v/>
      </c>
      <c r="D204">
        <f>C204*Model!$B$7-MonthlyRunCost</f>
        <v/>
      </c>
      <c r="E204" t="n">
        <v>0</v>
      </c>
      <c r="F204">
        <f>F203+D204</f>
        <v/>
      </c>
      <c r="H204">
        <f>IF(AND(F204&gt;=0,F203&lt;0),(A204-1)+IF(D204&lt;=0,0,-F203/D204),"")</f>
        <v/>
      </c>
    </row>
    <row r="205">
      <c r="A205">
        <f>A204+1</f>
        <v/>
      </c>
      <c r="B205">
        <f>IF(AdoptionRamp&lt;=0,1,MIN(1,A205/AdoptionRamp))</f>
        <v/>
      </c>
      <c r="C205">
        <f>Model!$B$8*B205</f>
        <v/>
      </c>
      <c r="D205">
        <f>C205*Model!$B$7-MonthlyRunCost</f>
        <v/>
      </c>
      <c r="E205" t="n">
        <v>0</v>
      </c>
      <c r="F205">
        <f>F204+D205</f>
        <v/>
      </c>
      <c r="H205">
        <f>IF(AND(F205&gt;=0,F204&lt;0),(A205-1)+IF(D205&lt;=0,0,-F204/D205),"")</f>
        <v/>
      </c>
    </row>
    <row r="206">
      <c r="A206">
        <f>A205+1</f>
        <v/>
      </c>
      <c r="B206">
        <f>IF(AdoptionRamp&lt;=0,1,MIN(1,A206/AdoptionRamp))</f>
        <v/>
      </c>
      <c r="C206">
        <f>Model!$B$8*B206</f>
        <v/>
      </c>
      <c r="D206">
        <f>C206*Model!$B$7-MonthlyRunCost</f>
        <v/>
      </c>
      <c r="E206" t="n">
        <v>0</v>
      </c>
      <c r="F206">
        <f>F205+D206</f>
        <v/>
      </c>
      <c r="H206">
        <f>IF(AND(F206&gt;=0,F205&lt;0),(A206-1)+IF(D206&lt;=0,0,-F205/D206),"")</f>
        <v/>
      </c>
    </row>
    <row r="207">
      <c r="A207">
        <f>A206+1</f>
        <v/>
      </c>
      <c r="B207">
        <f>IF(AdoptionRamp&lt;=0,1,MIN(1,A207/AdoptionRamp))</f>
        <v/>
      </c>
      <c r="C207">
        <f>Model!$B$8*B207</f>
        <v/>
      </c>
      <c r="D207">
        <f>C207*Model!$B$7-MonthlyRunCost</f>
        <v/>
      </c>
      <c r="E207" t="n">
        <v>0</v>
      </c>
      <c r="F207">
        <f>F206+D207</f>
        <v/>
      </c>
      <c r="H207">
        <f>IF(AND(F207&gt;=0,F206&lt;0),(A207-1)+IF(D207&lt;=0,0,-F206/D207),"")</f>
        <v/>
      </c>
    </row>
    <row r="208">
      <c r="A208">
        <f>A207+1</f>
        <v/>
      </c>
      <c r="B208">
        <f>IF(AdoptionRamp&lt;=0,1,MIN(1,A208/AdoptionRamp))</f>
        <v/>
      </c>
      <c r="C208">
        <f>Model!$B$8*B208</f>
        <v/>
      </c>
      <c r="D208">
        <f>C208*Model!$B$7-MonthlyRunCost</f>
        <v/>
      </c>
      <c r="E208" t="n">
        <v>0</v>
      </c>
      <c r="F208">
        <f>F207+D208</f>
        <v/>
      </c>
      <c r="H208">
        <f>IF(AND(F208&gt;=0,F207&lt;0),(A208-1)+IF(D208&lt;=0,0,-F207/D208),"")</f>
        <v/>
      </c>
    </row>
    <row r="209">
      <c r="A209">
        <f>A208+1</f>
        <v/>
      </c>
      <c r="B209">
        <f>IF(AdoptionRamp&lt;=0,1,MIN(1,A209/AdoptionRamp))</f>
        <v/>
      </c>
      <c r="C209">
        <f>Model!$B$8*B209</f>
        <v/>
      </c>
      <c r="D209">
        <f>C209*Model!$B$7-MonthlyRunCost</f>
        <v/>
      </c>
      <c r="E209" t="n">
        <v>0</v>
      </c>
      <c r="F209">
        <f>F208+D209</f>
        <v/>
      </c>
      <c r="H209">
        <f>IF(AND(F209&gt;=0,F208&lt;0),(A209-1)+IF(D209&lt;=0,0,-F208/D209),"")</f>
        <v/>
      </c>
    </row>
    <row r="210">
      <c r="A210">
        <f>A209+1</f>
        <v/>
      </c>
      <c r="B210">
        <f>IF(AdoptionRamp&lt;=0,1,MIN(1,A210/AdoptionRamp))</f>
        <v/>
      </c>
      <c r="C210">
        <f>Model!$B$8*B210</f>
        <v/>
      </c>
      <c r="D210">
        <f>C210*Model!$B$7-MonthlyRunCost</f>
        <v/>
      </c>
      <c r="E210" t="n">
        <v>0</v>
      </c>
      <c r="F210">
        <f>F209+D210</f>
        <v/>
      </c>
      <c r="H210">
        <f>IF(AND(F210&gt;=0,F209&lt;0),(A210-1)+IF(D210&lt;=0,0,-F209/D210),"")</f>
        <v/>
      </c>
    </row>
    <row r="211">
      <c r="A211">
        <f>A210+1</f>
        <v/>
      </c>
      <c r="B211">
        <f>IF(AdoptionRamp&lt;=0,1,MIN(1,A211/AdoptionRamp))</f>
        <v/>
      </c>
      <c r="C211">
        <f>Model!$B$8*B211</f>
        <v/>
      </c>
      <c r="D211">
        <f>C211*Model!$B$7-MonthlyRunCost</f>
        <v/>
      </c>
      <c r="E211" t="n">
        <v>0</v>
      </c>
      <c r="F211">
        <f>F210+D211</f>
        <v/>
      </c>
      <c r="H211">
        <f>IF(AND(F211&gt;=0,F210&lt;0),(A211-1)+IF(D211&lt;=0,0,-F210/D211),"")</f>
        <v/>
      </c>
    </row>
    <row r="212">
      <c r="A212">
        <f>A211+1</f>
        <v/>
      </c>
      <c r="B212">
        <f>IF(AdoptionRamp&lt;=0,1,MIN(1,A212/AdoptionRamp))</f>
        <v/>
      </c>
      <c r="C212">
        <f>Model!$B$8*B212</f>
        <v/>
      </c>
      <c r="D212">
        <f>C212*Model!$B$7-MonthlyRunCost</f>
        <v/>
      </c>
      <c r="E212" t="n">
        <v>0</v>
      </c>
      <c r="F212">
        <f>F211+D212</f>
        <v/>
      </c>
      <c r="H212">
        <f>IF(AND(F212&gt;=0,F211&lt;0),(A212-1)+IF(D212&lt;=0,0,-F211/D212),"")</f>
        <v/>
      </c>
    </row>
    <row r="213">
      <c r="A213">
        <f>A212+1</f>
        <v/>
      </c>
      <c r="B213">
        <f>IF(AdoptionRamp&lt;=0,1,MIN(1,A213/AdoptionRamp))</f>
        <v/>
      </c>
      <c r="C213">
        <f>Model!$B$8*B213</f>
        <v/>
      </c>
      <c r="D213">
        <f>C213*Model!$B$7-MonthlyRunCost</f>
        <v/>
      </c>
      <c r="E213" t="n">
        <v>0</v>
      </c>
      <c r="F213">
        <f>F212+D213</f>
        <v/>
      </c>
      <c r="H213">
        <f>IF(AND(F213&gt;=0,F212&lt;0),(A213-1)+IF(D213&lt;=0,0,-F212/D213),"")</f>
        <v/>
      </c>
    </row>
    <row r="214">
      <c r="A214">
        <f>A213+1</f>
        <v/>
      </c>
      <c r="B214">
        <f>IF(AdoptionRamp&lt;=0,1,MIN(1,A214/AdoptionRamp))</f>
        <v/>
      </c>
      <c r="C214">
        <f>Model!$B$8*B214</f>
        <v/>
      </c>
      <c r="D214">
        <f>C214*Model!$B$7-MonthlyRunCost</f>
        <v/>
      </c>
      <c r="E214" t="n">
        <v>0</v>
      </c>
      <c r="F214">
        <f>F213+D214</f>
        <v/>
      </c>
      <c r="H214">
        <f>IF(AND(F214&gt;=0,F213&lt;0),(A214-1)+IF(D214&lt;=0,0,-F213/D214),"")</f>
        <v/>
      </c>
    </row>
    <row r="215">
      <c r="A215">
        <f>A214+1</f>
        <v/>
      </c>
      <c r="B215">
        <f>IF(AdoptionRamp&lt;=0,1,MIN(1,A215/AdoptionRamp))</f>
        <v/>
      </c>
      <c r="C215">
        <f>Model!$B$8*B215</f>
        <v/>
      </c>
      <c r="D215">
        <f>C215*Model!$B$7-MonthlyRunCost</f>
        <v/>
      </c>
      <c r="E215" t="n">
        <v>0</v>
      </c>
      <c r="F215">
        <f>F214+D215</f>
        <v/>
      </c>
      <c r="H215">
        <f>IF(AND(F215&gt;=0,F214&lt;0),(A215-1)+IF(D215&lt;=0,0,-F214/D215),"")</f>
        <v/>
      </c>
    </row>
    <row r="216">
      <c r="A216">
        <f>A215+1</f>
        <v/>
      </c>
      <c r="B216">
        <f>IF(AdoptionRamp&lt;=0,1,MIN(1,A216/AdoptionRamp))</f>
        <v/>
      </c>
      <c r="C216">
        <f>Model!$B$8*B216</f>
        <v/>
      </c>
      <c r="D216">
        <f>C216*Model!$B$7-MonthlyRunCost</f>
        <v/>
      </c>
      <c r="E216" t="n">
        <v>0</v>
      </c>
      <c r="F216">
        <f>F215+D216</f>
        <v/>
      </c>
      <c r="H216">
        <f>IF(AND(F216&gt;=0,F215&lt;0),(A216-1)+IF(D216&lt;=0,0,-F215/D216),"")</f>
        <v/>
      </c>
    </row>
    <row r="217">
      <c r="A217">
        <f>A216+1</f>
        <v/>
      </c>
      <c r="B217">
        <f>IF(AdoptionRamp&lt;=0,1,MIN(1,A217/AdoptionRamp))</f>
        <v/>
      </c>
      <c r="C217">
        <f>Model!$B$8*B217</f>
        <v/>
      </c>
      <c r="D217">
        <f>C217*Model!$B$7-MonthlyRunCost</f>
        <v/>
      </c>
      <c r="E217" t="n">
        <v>0</v>
      </c>
      <c r="F217">
        <f>F216+D217</f>
        <v/>
      </c>
      <c r="H217">
        <f>IF(AND(F217&gt;=0,F216&lt;0),(A217-1)+IF(D217&lt;=0,0,-F216/D217),"")</f>
        <v/>
      </c>
    </row>
    <row r="218">
      <c r="A218">
        <f>A217+1</f>
        <v/>
      </c>
      <c r="B218">
        <f>IF(AdoptionRamp&lt;=0,1,MIN(1,A218/AdoptionRamp))</f>
        <v/>
      </c>
      <c r="C218">
        <f>Model!$B$8*B218</f>
        <v/>
      </c>
      <c r="D218">
        <f>C218*Model!$B$7-MonthlyRunCost</f>
        <v/>
      </c>
      <c r="E218" t="n">
        <v>0</v>
      </c>
      <c r="F218">
        <f>F217+D218</f>
        <v/>
      </c>
      <c r="H218">
        <f>IF(AND(F218&gt;=0,F217&lt;0),(A218-1)+IF(D218&lt;=0,0,-F217/D218),"")</f>
        <v/>
      </c>
    </row>
    <row r="219">
      <c r="A219">
        <f>A218+1</f>
        <v/>
      </c>
      <c r="B219">
        <f>IF(AdoptionRamp&lt;=0,1,MIN(1,A219/AdoptionRamp))</f>
        <v/>
      </c>
      <c r="C219">
        <f>Model!$B$8*B219</f>
        <v/>
      </c>
      <c r="D219">
        <f>C219*Model!$B$7-MonthlyRunCost</f>
        <v/>
      </c>
      <c r="E219" t="n">
        <v>0</v>
      </c>
      <c r="F219">
        <f>F218+D219</f>
        <v/>
      </c>
      <c r="H219">
        <f>IF(AND(F219&gt;=0,F218&lt;0),(A219-1)+IF(D219&lt;=0,0,-F218/D219),"")</f>
        <v/>
      </c>
    </row>
    <row r="220">
      <c r="A220">
        <f>A219+1</f>
        <v/>
      </c>
      <c r="B220">
        <f>IF(AdoptionRamp&lt;=0,1,MIN(1,A220/AdoptionRamp))</f>
        <v/>
      </c>
      <c r="C220">
        <f>Model!$B$8*B220</f>
        <v/>
      </c>
      <c r="D220">
        <f>C220*Model!$B$7-MonthlyRunCost</f>
        <v/>
      </c>
      <c r="E220" t="n">
        <v>0</v>
      </c>
      <c r="F220">
        <f>F219+D220</f>
        <v/>
      </c>
      <c r="H220">
        <f>IF(AND(F220&gt;=0,F219&lt;0),(A220-1)+IF(D220&lt;=0,0,-F219/D220),"")</f>
        <v/>
      </c>
    </row>
    <row r="221">
      <c r="A221">
        <f>A220+1</f>
        <v/>
      </c>
      <c r="B221">
        <f>IF(AdoptionRamp&lt;=0,1,MIN(1,A221/AdoptionRamp))</f>
        <v/>
      </c>
      <c r="C221">
        <f>Model!$B$8*B221</f>
        <v/>
      </c>
      <c r="D221">
        <f>C221*Model!$B$7-MonthlyRunCost</f>
        <v/>
      </c>
      <c r="E221" t="n">
        <v>0</v>
      </c>
      <c r="F221">
        <f>F220+D221</f>
        <v/>
      </c>
      <c r="H221">
        <f>IF(AND(F221&gt;=0,F220&lt;0),(A221-1)+IF(D221&lt;=0,0,-F220/D221),"")</f>
        <v/>
      </c>
    </row>
    <row r="222">
      <c r="A222">
        <f>A221+1</f>
        <v/>
      </c>
      <c r="B222">
        <f>IF(AdoptionRamp&lt;=0,1,MIN(1,A222/AdoptionRamp))</f>
        <v/>
      </c>
      <c r="C222">
        <f>Model!$B$8*B222</f>
        <v/>
      </c>
      <c r="D222">
        <f>C222*Model!$B$7-MonthlyRunCost</f>
        <v/>
      </c>
      <c r="E222" t="n">
        <v>0</v>
      </c>
      <c r="F222">
        <f>F221+D222</f>
        <v/>
      </c>
      <c r="H222">
        <f>IF(AND(F222&gt;=0,F221&lt;0),(A222-1)+IF(D222&lt;=0,0,-F221/D222),"")</f>
        <v/>
      </c>
    </row>
    <row r="223">
      <c r="A223">
        <f>A222+1</f>
        <v/>
      </c>
      <c r="B223">
        <f>IF(AdoptionRamp&lt;=0,1,MIN(1,A223/AdoptionRamp))</f>
        <v/>
      </c>
      <c r="C223">
        <f>Model!$B$8*B223</f>
        <v/>
      </c>
      <c r="D223">
        <f>C223*Model!$B$7-MonthlyRunCost</f>
        <v/>
      </c>
      <c r="E223" t="n">
        <v>0</v>
      </c>
      <c r="F223">
        <f>F222+D223</f>
        <v/>
      </c>
      <c r="H223">
        <f>IF(AND(F223&gt;=0,F222&lt;0),(A223-1)+IF(D223&lt;=0,0,-F222/D223),"")</f>
        <v/>
      </c>
    </row>
    <row r="224">
      <c r="A224">
        <f>A223+1</f>
        <v/>
      </c>
      <c r="B224">
        <f>IF(AdoptionRamp&lt;=0,1,MIN(1,A224/AdoptionRamp))</f>
        <v/>
      </c>
      <c r="C224">
        <f>Model!$B$8*B224</f>
        <v/>
      </c>
      <c r="D224">
        <f>C224*Model!$B$7-MonthlyRunCost</f>
        <v/>
      </c>
      <c r="E224" t="n">
        <v>0</v>
      </c>
      <c r="F224">
        <f>F223+D224</f>
        <v/>
      </c>
      <c r="H224">
        <f>IF(AND(F224&gt;=0,F223&lt;0),(A224-1)+IF(D224&lt;=0,0,-F223/D224),"")</f>
        <v/>
      </c>
    </row>
    <row r="225">
      <c r="A225">
        <f>A224+1</f>
        <v/>
      </c>
      <c r="B225">
        <f>IF(AdoptionRamp&lt;=0,1,MIN(1,A225/AdoptionRamp))</f>
        <v/>
      </c>
      <c r="C225">
        <f>Model!$B$8*B225</f>
        <v/>
      </c>
      <c r="D225">
        <f>C225*Model!$B$7-MonthlyRunCost</f>
        <v/>
      </c>
      <c r="E225" t="n">
        <v>0</v>
      </c>
      <c r="F225">
        <f>F224+D225</f>
        <v/>
      </c>
      <c r="H225">
        <f>IF(AND(F225&gt;=0,F224&lt;0),(A225-1)+IF(D225&lt;=0,0,-F224/D225),"")</f>
        <v/>
      </c>
    </row>
    <row r="226">
      <c r="A226">
        <f>A225+1</f>
        <v/>
      </c>
      <c r="B226">
        <f>IF(AdoptionRamp&lt;=0,1,MIN(1,A226/AdoptionRamp))</f>
        <v/>
      </c>
      <c r="C226">
        <f>Model!$B$8*B226</f>
        <v/>
      </c>
      <c r="D226">
        <f>C226*Model!$B$7-MonthlyRunCost</f>
        <v/>
      </c>
      <c r="E226" t="n">
        <v>0</v>
      </c>
      <c r="F226">
        <f>F225+D226</f>
        <v/>
      </c>
      <c r="H226">
        <f>IF(AND(F226&gt;=0,F225&lt;0),(A226-1)+IF(D226&lt;=0,0,-F225/D226),"")</f>
        <v/>
      </c>
    </row>
    <row r="227">
      <c r="A227">
        <f>A226+1</f>
        <v/>
      </c>
      <c r="B227">
        <f>IF(AdoptionRamp&lt;=0,1,MIN(1,A227/AdoptionRamp))</f>
        <v/>
      </c>
      <c r="C227">
        <f>Model!$B$8*B227</f>
        <v/>
      </c>
      <c r="D227">
        <f>C227*Model!$B$7-MonthlyRunCost</f>
        <v/>
      </c>
      <c r="E227" t="n">
        <v>0</v>
      </c>
      <c r="F227">
        <f>F226+D227</f>
        <v/>
      </c>
      <c r="H227">
        <f>IF(AND(F227&gt;=0,F226&lt;0),(A227-1)+IF(D227&lt;=0,0,-F226/D227),"")</f>
        <v/>
      </c>
    </row>
    <row r="228">
      <c r="A228">
        <f>A227+1</f>
        <v/>
      </c>
      <c r="B228">
        <f>IF(AdoptionRamp&lt;=0,1,MIN(1,A228/AdoptionRamp))</f>
        <v/>
      </c>
      <c r="C228">
        <f>Model!$B$8*B228</f>
        <v/>
      </c>
      <c r="D228">
        <f>C228*Model!$B$7-MonthlyRunCost</f>
        <v/>
      </c>
      <c r="E228" t="n">
        <v>0</v>
      </c>
      <c r="F228">
        <f>F227+D228</f>
        <v/>
      </c>
      <c r="H228">
        <f>IF(AND(F228&gt;=0,F227&lt;0),(A228-1)+IF(D228&lt;=0,0,-F227/D228),"")</f>
        <v/>
      </c>
    </row>
    <row r="229">
      <c r="A229">
        <f>A228+1</f>
        <v/>
      </c>
      <c r="B229">
        <f>IF(AdoptionRamp&lt;=0,1,MIN(1,A229/AdoptionRamp))</f>
        <v/>
      </c>
      <c r="C229">
        <f>Model!$B$8*B229</f>
        <v/>
      </c>
      <c r="D229">
        <f>C229*Model!$B$7-MonthlyRunCost</f>
        <v/>
      </c>
      <c r="E229" t="n">
        <v>0</v>
      </c>
      <c r="F229">
        <f>F228+D229</f>
        <v/>
      </c>
      <c r="H229">
        <f>IF(AND(F229&gt;=0,F228&lt;0),(A229-1)+IF(D229&lt;=0,0,-F228/D229),"")</f>
        <v/>
      </c>
    </row>
    <row r="230">
      <c r="A230">
        <f>A229+1</f>
        <v/>
      </c>
      <c r="B230">
        <f>IF(AdoptionRamp&lt;=0,1,MIN(1,A230/AdoptionRamp))</f>
        <v/>
      </c>
      <c r="C230">
        <f>Model!$B$8*B230</f>
        <v/>
      </c>
      <c r="D230">
        <f>C230*Model!$B$7-MonthlyRunCost</f>
        <v/>
      </c>
      <c r="E230" t="n">
        <v>0</v>
      </c>
      <c r="F230">
        <f>F229+D230</f>
        <v/>
      </c>
      <c r="H230">
        <f>IF(AND(F230&gt;=0,F229&lt;0),(A230-1)+IF(D230&lt;=0,0,-F229/D230),"")</f>
        <v/>
      </c>
    </row>
    <row r="231">
      <c r="A231">
        <f>A230+1</f>
        <v/>
      </c>
      <c r="B231">
        <f>IF(AdoptionRamp&lt;=0,1,MIN(1,A231/AdoptionRamp))</f>
        <v/>
      </c>
      <c r="C231">
        <f>Model!$B$8*B231</f>
        <v/>
      </c>
      <c r="D231">
        <f>C231*Model!$B$7-MonthlyRunCost</f>
        <v/>
      </c>
      <c r="E231" t="n">
        <v>0</v>
      </c>
      <c r="F231">
        <f>F230+D231</f>
        <v/>
      </c>
      <c r="H231">
        <f>IF(AND(F231&gt;=0,F230&lt;0),(A231-1)+IF(D231&lt;=0,0,-F230/D231),"")</f>
        <v/>
      </c>
    </row>
    <row r="232">
      <c r="A232">
        <f>A231+1</f>
        <v/>
      </c>
      <c r="B232">
        <f>IF(AdoptionRamp&lt;=0,1,MIN(1,A232/AdoptionRamp))</f>
        <v/>
      </c>
      <c r="C232">
        <f>Model!$B$8*B232</f>
        <v/>
      </c>
      <c r="D232">
        <f>C232*Model!$B$7-MonthlyRunCost</f>
        <v/>
      </c>
      <c r="E232" t="n">
        <v>0</v>
      </c>
      <c r="F232">
        <f>F231+D232</f>
        <v/>
      </c>
      <c r="H232">
        <f>IF(AND(F232&gt;=0,F231&lt;0),(A232-1)+IF(D232&lt;=0,0,-F231/D232),"")</f>
        <v/>
      </c>
    </row>
    <row r="233">
      <c r="A233">
        <f>A232+1</f>
        <v/>
      </c>
      <c r="B233">
        <f>IF(AdoptionRamp&lt;=0,1,MIN(1,A233/AdoptionRamp))</f>
        <v/>
      </c>
      <c r="C233">
        <f>Model!$B$8*B233</f>
        <v/>
      </c>
      <c r="D233">
        <f>C233*Model!$B$7-MonthlyRunCost</f>
        <v/>
      </c>
      <c r="E233" t="n">
        <v>0</v>
      </c>
      <c r="F233">
        <f>F232+D233</f>
        <v/>
      </c>
      <c r="H233">
        <f>IF(AND(F233&gt;=0,F232&lt;0),(A233-1)+IF(D233&lt;=0,0,-F232/D233),"")</f>
        <v/>
      </c>
    </row>
    <row r="234">
      <c r="A234">
        <f>A233+1</f>
        <v/>
      </c>
      <c r="B234">
        <f>IF(AdoptionRamp&lt;=0,1,MIN(1,A234/AdoptionRamp))</f>
        <v/>
      </c>
      <c r="C234">
        <f>Model!$B$8*B234</f>
        <v/>
      </c>
      <c r="D234">
        <f>C234*Model!$B$7-MonthlyRunCost</f>
        <v/>
      </c>
      <c r="E234" t="n">
        <v>0</v>
      </c>
      <c r="F234">
        <f>F233+D234</f>
        <v/>
      </c>
      <c r="H234">
        <f>IF(AND(F234&gt;=0,F233&lt;0),(A234-1)+IF(D234&lt;=0,0,-F233/D234),"")</f>
        <v/>
      </c>
    </row>
    <row r="235">
      <c r="A235">
        <f>A234+1</f>
        <v/>
      </c>
      <c r="B235">
        <f>IF(AdoptionRamp&lt;=0,1,MIN(1,A235/AdoptionRamp))</f>
        <v/>
      </c>
      <c r="C235">
        <f>Model!$B$8*B235</f>
        <v/>
      </c>
      <c r="D235">
        <f>C235*Model!$B$7-MonthlyRunCost</f>
        <v/>
      </c>
      <c r="E235" t="n">
        <v>0</v>
      </c>
      <c r="F235">
        <f>F234+D235</f>
        <v/>
      </c>
      <c r="H235">
        <f>IF(AND(F235&gt;=0,F234&lt;0),(A235-1)+IF(D235&lt;=0,0,-F234/D235),"")</f>
        <v/>
      </c>
    </row>
    <row r="236">
      <c r="A236">
        <f>A235+1</f>
        <v/>
      </c>
      <c r="B236">
        <f>IF(AdoptionRamp&lt;=0,1,MIN(1,A236/AdoptionRamp))</f>
        <v/>
      </c>
      <c r="C236">
        <f>Model!$B$8*B236</f>
        <v/>
      </c>
      <c r="D236">
        <f>C236*Model!$B$7-MonthlyRunCost</f>
        <v/>
      </c>
      <c r="E236" t="n">
        <v>0</v>
      </c>
      <c r="F236">
        <f>F235+D236</f>
        <v/>
      </c>
      <c r="H236">
        <f>IF(AND(F236&gt;=0,F235&lt;0),(A236-1)+IF(D236&lt;=0,0,-F235/D236),"")</f>
        <v/>
      </c>
    </row>
    <row r="237">
      <c r="A237">
        <f>A236+1</f>
        <v/>
      </c>
      <c r="B237">
        <f>IF(AdoptionRamp&lt;=0,1,MIN(1,A237/AdoptionRamp))</f>
        <v/>
      </c>
      <c r="C237">
        <f>Model!$B$8*B237</f>
        <v/>
      </c>
      <c r="D237">
        <f>C237*Model!$B$7-MonthlyRunCost</f>
        <v/>
      </c>
      <c r="E237" t="n">
        <v>0</v>
      </c>
      <c r="F237">
        <f>F236+D237</f>
        <v/>
      </c>
      <c r="H237">
        <f>IF(AND(F237&gt;=0,F236&lt;0),(A237-1)+IF(D237&lt;=0,0,-F236/D237),"")</f>
        <v/>
      </c>
    </row>
    <row r="238">
      <c r="A238">
        <f>A237+1</f>
        <v/>
      </c>
      <c r="B238">
        <f>IF(AdoptionRamp&lt;=0,1,MIN(1,A238/AdoptionRamp))</f>
        <v/>
      </c>
      <c r="C238">
        <f>Model!$B$8*B238</f>
        <v/>
      </c>
      <c r="D238">
        <f>C238*Model!$B$7-MonthlyRunCost</f>
        <v/>
      </c>
      <c r="E238" t="n">
        <v>0</v>
      </c>
      <c r="F238">
        <f>F237+D238</f>
        <v/>
      </c>
      <c r="H238">
        <f>IF(AND(F238&gt;=0,F237&lt;0),(A238-1)+IF(D238&lt;=0,0,-F237/D238),"")</f>
        <v/>
      </c>
    </row>
    <row r="239">
      <c r="A239">
        <f>A238+1</f>
        <v/>
      </c>
      <c r="B239">
        <f>IF(AdoptionRamp&lt;=0,1,MIN(1,A239/AdoptionRamp))</f>
        <v/>
      </c>
      <c r="C239">
        <f>Model!$B$8*B239</f>
        <v/>
      </c>
      <c r="D239">
        <f>C239*Model!$B$7-MonthlyRunCost</f>
        <v/>
      </c>
      <c r="E239" t="n">
        <v>0</v>
      </c>
      <c r="F239">
        <f>F238+D239</f>
        <v/>
      </c>
      <c r="H239">
        <f>IF(AND(F239&gt;=0,F238&lt;0),(A239-1)+IF(D239&lt;=0,0,-F238/D239),"")</f>
        <v/>
      </c>
    </row>
    <row r="240">
      <c r="A240">
        <f>A239+1</f>
        <v/>
      </c>
      <c r="B240">
        <f>IF(AdoptionRamp&lt;=0,1,MIN(1,A240/AdoptionRamp))</f>
        <v/>
      </c>
      <c r="C240">
        <f>Model!$B$8*B240</f>
        <v/>
      </c>
      <c r="D240">
        <f>C240*Model!$B$7-MonthlyRunCost</f>
        <v/>
      </c>
      <c r="E240" t="n">
        <v>0</v>
      </c>
      <c r="F240">
        <f>F239+D240</f>
        <v/>
      </c>
      <c r="H240">
        <f>IF(AND(F240&gt;=0,F239&lt;0),(A240-1)+IF(D240&lt;=0,0,-F239/D240),"")</f>
        <v/>
      </c>
    </row>
    <row r="241">
      <c r="A241">
        <f>A240+1</f>
        <v/>
      </c>
      <c r="B241">
        <f>IF(AdoptionRamp&lt;=0,1,MIN(1,A241/AdoptionRamp))</f>
        <v/>
      </c>
      <c r="C241">
        <f>Model!$B$8*B241</f>
        <v/>
      </c>
      <c r="D241">
        <f>C241*Model!$B$7-MonthlyRunCost</f>
        <v/>
      </c>
      <c r="E241" t="n">
        <v>0</v>
      </c>
      <c r="F241">
        <f>F240+D241</f>
        <v/>
      </c>
      <c r="H241">
        <f>IF(AND(F241&gt;=0,F240&lt;0),(A241-1)+IF(D241&lt;=0,0,-F240/D241),"")</f>
        <v/>
      </c>
    </row>
    <row r="242">
      <c r="A242">
        <f>A241+1</f>
        <v/>
      </c>
      <c r="B242">
        <f>IF(AdoptionRamp&lt;=0,1,MIN(1,A242/AdoptionRamp))</f>
        <v/>
      </c>
      <c r="C242">
        <f>Model!$B$8*B242</f>
        <v/>
      </c>
      <c r="D242">
        <f>C242*Model!$B$7-MonthlyRunCost</f>
        <v/>
      </c>
      <c r="E242" t="n">
        <v>0</v>
      </c>
      <c r="F242">
        <f>F241+D242</f>
        <v/>
      </c>
      <c r="H242">
        <f>IF(AND(F242&gt;=0,F241&lt;0),(A242-1)+IF(D242&lt;=0,0,-F241/D242),"")</f>
        <v/>
      </c>
    </row>
    <row r="243">
      <c r="A243">
        <f>A242+1</f>
        <v/>
      </c>
      <c r="B243">
        <f>IF(AdoptionRamp&lt;=0,1,MIN(1,A243/AdoptionRamp))</f>
        <v/>
      </c>
      <c r="C243">
        <f>Model!$B$8*B243</f>
        <v/>
      </c>
      <c r="D243">
        <f>C243*Model!$B$7-MonthlyRunCost</f>
        <v/>
      </c>
      <c r="E243" t="n">
        <v>0</v>
      </c>
      <c r="F243">
        <f>F242+D243</f>
        <v/>
      </c>
      <c r="H243">
        <f>IF(AND(F243&gt;=0,F242&lt;0),(A243-1)+IF(D243&lt;=0,0,-F242/D243),"")</f>
        <v/>
      </c>
    </row>
    <row r="244">
      <c r="A244">
        <f>A243+1</f>
        <v/>
      </c>
      <c r="B244">
        <f>IF(AdoptionRamp&lt;=0,1,MIN(1,A244/AdoptionRamp))</f>
        <v/>
      </c>
      <c r="C244">
        <f>Model!$B$8*B244</f>
        <v/>
      </c>
      <c r="D244">
        <f>C244*Model!$B$7-MonthlyRunCost</f>
        <v/>
      </c>
      <c r="E244" t="n">
        <v>0</v>
      </c>
      <c r="F244">
        <f>F243+D244</f>
        <v/>
      </c>
      <c r="H244">
        <f>IF(AND(F244&gt;=0,F243&lt;0),(A244-1)+IF(D244&lt;=0,0,-F243/D244),"")</f>
        <v/>
      </c>
    </row>
    <row r="245">
      <c r="A245">
        <f>A244+1</f>
        <v/>
      </c>
      <c r="B245">
        <f>IF(AdoptionRamp&lt;=0,1,MIN(1,A245/AdoptionRamp))</f>
        <v/>
      </c>
      <c r="C245">
        <f>Model!$B$8*B245</f>
        <v/>
      </c>
      <c r="D245">
        <f>C245*Model!$B$7-MonthlyRunCost</f>
        <v/>
      </c>
      <c r="E245" t="n">
        <v>0</v>
      </c>
      <c r="F245">
        <f>F244+D245</f>
        <v/>
      </c>
      <c r="H245">
        <f>IF(AND(F245&gt;=0,F244&lt;0),(A245-1)+IF(D245&lt;=0,0,-F244/D245),"")</f>
        <v/>
      </c>
    </row>
    <row r="246">
      <c r="A246">
        <f>A245+1</f>
        <v/>
      </c>
      <c r="B246">
        <f>IF(AdoptionRamp&lt;=0,1,MIN(1,A246/AdoptionRamp))</f>
        <v/>
      </c>
      <c r="C246">
        <f>Model!$B$8*B246</f>
        <v/>
      </c>
      <c r="D246">
        <f>C246*Model!$B$7-MonthlyRunCost</f>
        <v/>
      </c>
      <c r="E246" t="n">
        <v>0</v>
      </c>
      <c r="F246">
        <f>F245+D246</f>
        <v/>
      </c>
      <c r="H246">
        <f>IF(AND(F246&gt;=0,F245&lt;0),(A246-1)+IF(D246&lt;=0,0,-F245/D246),"")</f>
        <v/>
      </c>
    </row>
    <row r="247">
      <c r="A247">
        <f>A246+1</f>
        <v/>
      </c>
      <c r="B247">
        <f>IF(AdoptionRamp&lt;=0,1,MIN(1,A247/AdoptionRamp))</f>
        <v/>
      </c>
      <c r="C247">
        <f>Model!$B$8*B247</f>
        <v/>
      </c>
      <c r="D247">
        <f>C247*Model!$B$7-MonthlyRunCost</f>
        <v/>
      </c>
      <c r="E247" t="n">
        <v>0</v>
      </c>
      <c r="F247">
        <f>F246+D247</f>
        <v/>
      </c>
      <c r="H247">
        <f>IF(AND(F247&gt;=0,F246&lt;0),(A247-1)+IF(D247&lt;=0,0,-F246/D247),"")</f>
        <v/>
      </c>
    </row>
    <row r="248">
      <c r="A248">
        <f>A247+1</f>
        <v/>
      </c>
      <c r="B248">
        <f>IF(AdoptionRamp&lt;=0,1,MIN(1,A248/AdoptionRamp))</f>
        <v/>
      </c>
      <c r="C248">
        <f>Model!$B$8*B248</f>
        <v/>
      </c>
      <c r="D248">
        <f>C248*Model!$B$7-MonthlyRunCost</f>
        <v/>
      </c>
      <c r="E248" t="n">
        <v>0</v>
      </c>
      <c r="F248">
        <f>F247+D248</f>
        <v/>
      </c>
      <c r="H248">
        <f>IF(AND(F248&gt;=0,F247&lt;0),(A248-1)+IF(D248&lt;=0,0,-F247/D248),"")</f>
        <v/>
      </c>
    </row>
    <row r="249">
      <c r="A249">
        <f>A248+1</f>
        <v/>
      </c>
      <c r="B249">
        <f>IF(AdoptionRamp&lt;=0,1,MIN(1,A249/AdoptionRamp))</f>
        <v/>
      </c>
      <c r="C249">
        <f>Model!$B$8*B249</f>
        <v/>
      </c>
      <c r="D249">
        <f>C249*Model!$B$7-MonthlyRunCost</f>
        <v/>
      </c>
      <c r="E249" t="n">
        <v>0</v>
      </c>
      <c r="F249">
        <f>F248+D249</f>
        <v/>
      </c>
      <c r="H249">
        <f>IF(AND(F249&gt;=0,F248&lt;0),(A249-1)+IF(D249&lt;=0,0,-F248/D249),"")</f>
        <v/>
      </c>
    </row>
    <row r="250">
      <c r="A250">
        <f>A249+1</f>
        <v/>
      </c>
      <c r="B250">
        <f>IF(AdoptionRamp&lt;=0,1,MIN(1,A250/AdoptionRamp))</f>
        <v/>
      </c>
      <c r="C250">
        <f>Model!$B$8*B250</f>
        <v/>
      </c>
      <c r="D250">
        <f>C250*Model!$B$7-MonthlyRunCost</f>
        <v/>
      </c>
      <c r="E250" t="n">
        <v>0</v>
      </c>
      <c r="F250">
        <f>F249+D250</f>
        <v/>
      </c>
      <c r="H250">
        <f>IF(AND(F250&gt;=0,F249&lt;0),(A250-1)+IF(D250&lt;=0,0,-F249/D250),"")</f>
        <v/>
      </c>
    </row>
    <row r="251">
      <c r="A251">
        <f>A250+1</f>
        <v/>
      </c>
      <c r="B251">
        <f>IF(AdoptionRamp&lt;=0,1,MIN(1,A251/AdoptionRamp))</f>
        <v/>
      </c>
      <c r="C251">
        <f>Model!$B$8*B251</f>
        <v/>
      </c>
      <c r="D251">
        <f>C251*Model!$B$7-MonthlyRunCost</f>
        <v/>
      </c>
      <c r="E251" t="n">
        <v>0</v>
      </c>
      <c r="F251">
        <f>F250+D251</f>
        <v/>
      </c>
      <c r="H251">
        <f>IF(AND(F251&gt;=0,F250&lt;0),(A251-1)+IF(D251&lt;=0,0,-F250/D251),"")</f>
        <v/>
      </c>
    </row>
    <row r="252">
      <c r="A252">
        <f>A251+1</f>
        <v/>
      </c>
      <c r="B252">
        <f>IF(AdoptionRamp&lt;=0,1,MIN(1,A252/AdoptionRamp))</f>
        <v/>
      </c>
      <c r="C252">
        <f>Model!$B$8*B252</f>
        <v/>
      </c>
      <c r="D252">
        <f>C252*Model!$B$7-MonthlyRunCost</f>
        <v/>
      </c>
      <c r="E252" t="n">
        <v>0</v>
      </c>
      <c r="F252">
        <f>F251+D252</f>
        <v/>
      </c>
      <c r="H252">
        <f>IF(AND(F252&gt;=0,F251&lt;0),(A252-1)+IF(D252&lt;=0,0,-F251/D252),"")</f>
        <v/>
      </c>
    </row>
    <row r="253">
      <c r="A253">
        <f>A252+1</f>
        <v/>
      </c>
      <c r="B253">
        <f>IF(AdoptionRamp&lt;=0,1,MIN(1,A253/AdoptionRamp))</f>
        <v/>
      </c>
      <c r="C253">
        <f>Model!$B$8*B253</f>
        <v/>
      </c>
      <c r="D253">
        <f>C253*Model!$B$7-MonthlyRunCost</f>
        <v/>
      </c>
      <c r="E253" t="n">
        <v>0</v>
      </c>
      <c r="F253">
        <f>F252+D253</f>
        <v/>
      </c>
      <c r="H253">
        <f>IF(AND(F253&gt;=0,F252&lt;0),(A253-1)+IF(D253&lt;=0,0,-F252/D253),"")</f>
        <v/>
      </c>
    </row>
    <row r="254">
      <c r="A254">
        <f>A253+1</f>
        <v/>
      </c>
      <c r="B254">
        <f>IF(AdoptionRamp&lt;=0,1,MIN(1,A254/AdoptionRamp))</f>
        <v/>
      </c>
      <c r="C254">
        <f>Model!$B$8*B254</f>
        <v/>
      </c>
      <c r="D254">
        <f>C254*Model!$B$7-MonthlyRunCost</f>
        <v/>
      </c>
      <c r="E254" t="n">
        <v>0</v>
      </c>
      <c r="F254">
        <f>F253+D254</f>
        <v/>
      </c>
      <c r="H254">
        <f>IF(AND(F254&gt;=0,F253&lt;0),(A254-1)+IF(D254&lt;=0,0,-F253/D254),"")</f>
        <v/>
      </c>
    </row>
    <row r="255">
      <c r="A255">
        <f>A254+1</f>
        <v/>
      </c>
      <c r="B255">
        <f>IF(AdoptionRamp&lt;=0,1,MIN(1,A255/AdoptionRamp))</f>
        <v/>
      </c>
      <c r="C255">
        <f>Model!$B$8*B255</f>
        <v/>
      </c>
      <c r="D255">
        <f>C255*Model!$B$7-MonthlyRunCost</f>
        <v/>
      </c>
      <c r="E255" t="n">
        <v>0</v>
      </c>
      <c r="F255">
        <f>F254+D255</f>
        <v/>
      </c>
      <c r="H255">
        <f>IF(AND(F255&gt;=0,F254&lt;0),(A255-1)+IF(D255&lt;=0,0,-F254/D255),"")</f>
        <v/>
      </c>
    </row>
    <row r="256">
      <c r="A256">
        <f>A255+1</f>
        <v/>
      </c>
      <c r="B256">
        <f>IF(AdoptionRamp&lt;=0,1,MIN(1,A256/AdoptionRamp))</f>
        <v/>
      </c>
      <c r="C256">
        <f>Model!$B$8*B256</f>
        <v/>
      </c>
      <c r="D256">
        <f>C256*Model!$B$7-MonthlyRunCost</f>
        <v/>
      </c>
      <c r="E256" t="n">
        <v>0</v>
      </c>
      <c r="F256">
        <f>F255+D256</f>
        <v/>
      </c>
      <c r="H256">
        <f>IF(AND(F256&gt;=0,F255&lt;0),(A256-1)+IF(D256&lt;=0,0,-F255/D256),"")</f>
        <v/>
      </c>
    </row>
    <row r="257">
      <c r="A257">
        <f>A256+1</f>
        <v/>
      </c>
      <c r="B257">
        <f>IF(AdoptionRamp&lt;=0,1,MIN(1,A257/AdoptionRamp))</f>
        <v/>
      </c>
      <c r="C257">
        <f>Model!$B$8*B257</f>
        <v/>
      </c>
      <c r="D257">
        <f>C257*Model!$B$7-MonthlyRunCost</f>
        <v/>
      </c>
      <c r="E257" t="n">
        <v>0</v>
      </c>
      <c r="F257">
        <f>F256+D257</f>
        <v/>
      </c>
      <c r="H257">
        <f>IF(AND(F257&gt;=0,F256&lt;0),(A257-1)+IF(D257&lt;=0,0,-F256/D257),"")</f>
        <v/>
      </c>
    </row>
    <row r="258">
      <c r="A258">
        <f>A257+1</f>
        <v/>
      </c>
      <c r="B258">
        <f>IF(AdoptionRamp&lt;=0,1,MIN(1,A258/AdoptionRamp))</f>
        <v/>
      </c>
      <c r="C258">
        <f>Model!$B$8*B258</f>
        <v/>
      </c>
      <c r="D258">
        <f>C258*Model!$B$7-MonthlyRunCost</f>
        <v/>
      </c>
      <c r="E258" t="n">
        <v>0</v>
      </c>
      <c r="F258">
        <f>F257+D258</f>
        <v/>
      </c>
      <c r="H258">
        <f>IF(AND(F258&gt;=0,F257&lt;0),(A258-1)+IF(D258&lt;=0,0,-F257/D258),"")</f>
        <v/>
      </c>
    </row>
    <row r="259">
      <c r="A259">
        <f>A258+1</f>
        <v/>
      </c>
      <c r="B259">
        <f>IF(AdoptionRamp&lt;=0,1,MIN(1,A259/AdoptionRamp))</f>
        <v/>
      </c>
      <c r="C259">
        <f>Model!$B$8*B259</f>
        <v/>
      </c>
      <c r="D259">
        <f>C259*Model!$B$7-MonthlyRunCost</f>
        <v/>
      </c>
      <c r="E259" t="n">
        <v>0</v>
      </c>
      <c r="F259">
        <f>F258+D259</f>
        <v/>
      </c>
      <c r="H259">
        <f>IF(AND(F259&gt;=0,F258&lt;0),(A259-1)+IF(D259&lt;=0,0,-F258/D259),"")</f>
        <v/>
      </c>
    </row>
    <row r="260">
      <c r="A260">
        <f>A259+1</f>
        <v/>
      </c>
      <c r="B260">
        <f>IF(AdoptionRamp&lt;=0,1,MIN(1,A260/AdoptionRamp))</f>
        <v/>
      </c>
      <c r="C260">
        <f>Model!$B$8*B260</f>
        <v/>
      </c>
      <c r="D260">
        <f>C260*Model!$B$7-MonthlyRunCost</f>
        <v/>
      </c>
      <c r="E260" t="n">
        <v>0</v>
      </c>
      <c r="F260">
        <f>F259+D260</f>
        <v/>
      </c>
      <c r="H260">
        <f>IF(AND(F260&gt;=0,F259&lt;0),(A260-1)+IF(D260&lt;=0,0,-F259/D260),"")</f>
        <v/>
      </c>
    </row>
    <row r="261">
      <c r="A261">
        <f>A260+1</f>
        <v/>
      </c>
      <c r="B261">
        <f>IF(AdoptionRamp&lt;=0,1,MIN(1,A261/AdoptionRamp))</f>
        <v/>
      </c>
      <c r="C261">
        <f>Model!$B$8*B261</f>
        <v/>
      </c>
      <c r="D261">
        <f>C261*Model!$B$7-MonthlyRunCost</f>
        <v/>
      </c>
      <c r="E261" t="n">
        <v>0</v>
      </c>
      <c r="F261">
        <f>F260+D261</f>
        <v/>
      </c>
      <c r="H261">
        <f>IF(AND(F261&gt;=0,F260&lt;0),(A261-1)+IF(D261&lt;=0,0,-F260/D261),"")</f>
        <v/>
      </c>
    </row>
    <row r="262">
      <c r="A262">
        <f>A261+1</f>
        <v/>
      </c>
      <c r="B262">
        <f>IF(AdoptionRamp&lt;=0,1,MIN(1,A262/AdoptionRamp))</f>
        <v/>
      </c>
      <c r="C262">
        <f>Model!$B$8*B262</f>
        <v/>
      </c>
      <c r="D262">
        <f>C262*Model!$B$7-MonthlyRunCost</f>
        <v/>
      </c>
      <c r="E262" t="n">
        <v>0</v>
      </c>
      <c r="F262">
        <f>F261+D262</f>
        <v/>
      </c>
      <c r="H262">
        <f>IF(AND(F262&gt;=0,F261&lt;0),(A262-1)+IF(D262&lt;=0,0,-F261/D262),"")</f>
        <v/>
      </c>
    </row>
    <row r="263">
      <c r="A263">
        <f>A262+1</f>
        <v/>
      </c>
      <c r="B263">
        <f>IF(AdoptionRamp&lt;=0,1,MIN(1,A263/AdoptionRamp))</f>
        <v/>
      </c>
      <c r="C263">
        <f>Model!$B$8*B263</f>
        <v/>
      </c>
      <c r="D263">
        <f>C263*Model!$B$7-MonthlyRunCost</f>
        <v/>
      </c>
      <c r="E263" t="n">
        <v>0</v>
      </c>
      <c r="F263">
        <f>F262+D263</f>
        <v/>
      </c>
      <c r="H263">
        <f>IF(AND(F263&gt;=0,F262&lt;0),(A263-1)+IF(D263&lt;=0,0,-F262/D263),"")</f>
        <v/>
      </c>
    </row>
    <row r="264">
      <c r="A264">
        <f>A263+1</f>
        <v/>
      </c>
      <c r="B264">
        <f>IF(AdoptionRamp&lt;=0,1,MIN(1,A264/AdoptionRamp))</f>
        <v/>
      </c>
      <c r="C264">
        <f>Model!$B$8*B264</f>
        <v/>
      </c>
      <c r="D264">
        <f>C264*Model!$B$7-MonthlyRunCost</f>
        <v/>
      </c>
      <c r="E264" t="n">
        <v>0</v>
      </c>
      <c r="F264">
        <f>F263+D264</f>
        <v/>
      </c>
      <c r="H264">
        <f>IF(AND(F264&gt;=0,F263&lt;0),(A264-1)+IF(D264&lt;=0,0,-F263/D264),"")</f>
        <v/>
      </c>
    </row>
    <row r="265">
      <c r="A265">
        <f>A264+1</f>
        <v/>
      </c>
      <c r="B265">
        <f>IF(AdoptionRamp&lt;=0,1,MIN(1,A265/AdoptionRamp))</f>
        <v/>
      </c>
      <c r="C265">
        <f>Model!$B$8*B265</f>
        <v/>
      </c>
      <c r="D265">
        <f>C265*Model!$B$7-MonthlyRunCost</f>
        <v/>
      </c>
      <c r="E265" t="n">
        <v>0</v>
      </c>
      <c r="F265">
        <f>F264+D265</f>
        <v/>
      </c>
      <c r="H265">
        <f>IF(AND(F265&gt;=0,F264&lt;0),(A265-1)+IF(D265&lt;=0,0,-F264/D265),"")</f>
        <v/>
      </c>
    </row>
    <row r="266">
      <c r="A266">
        <f>A265+1</f>
        <v/>
      </c>
      <c r="B266">
        <f>IF(AdoptionRamp&lt;=0,1,MIN(1,A266/AdoptionRamp))</f>
        <v/>
      </c>
      <c r="C266">
        <f>Model!$B$8*B266</f>
        <v/>
      </c>
      <c r="D266">
        <f>C266*Model!$B$7-MonthlyRunCost</f>
        <v/>
      </c>
      <c r="E266" t="n">
        <v>0</v>
      </c>
      <c r="F266">
        <f>F265+D266</f>
        <v/>
      </c>
      <c r="H266">
        <f>IF(AND(F266&gt;=0,F265&lt;0),(A266-1)+IF(D266&lt;=0,0,-F265/D266),"")</f>
        <v/>
      </c>
    </row>
    <row r="267">
      <c r="A267">
        <f>A266+1</f>
        <v/>
      </c>
      <c r="B267">
        <f>IF(AdoptionRamp&lt;=0,1,MIN(1,A267/AdoptionRamp))</f>
        <v/>
      </c>
      <c r="C267">
        <f>Model!$B$8*B267</f>
        <v/>
      </c>
      <c r="D267">
        <f>C267*Model!$B$7-MonthlyRunCost</f>
        <v/>
      </c>
      <c r="E267" t="n">
        <v>0</v>
      </c>
      <c r="F267">
        <f>F266+D267</f>
        <v/>
      </c>
      <c r="H267">
        <f>IF(AND(F267&gt;=0,F266&lt;0),(A267-1)+IF(D267&lt;=0,0,-F266/D267),"")</f>
        <v/>
      </c>
    </row>
    <row r="268">
      <c r="A268">
        <f>A267+1</f>
        <v/>
      </c>
      <c r="B268">
        <f>IF(AdoptionRamp&lt;=0,1,MIN(1,A268/AdoptionRamp))</f>
        <v/>
      </c>
      <c r="C268">
        <f>Model!$B$8*B268</f>
        <v/>
      </c>
      <c r="D268">
        <f>C268*Model!$B$7-MonthlyRunCost</f>
        <v/>
      </c>
      <c r="E268" t="n">
        <v>0</v>
      </c>
      <c r="F268">
        <f>F267+D268</f>
        <v/>
      </c>
      <c r="H268">
        <f>IF(AND(F268&gt;=0,F267&lt;0),(A268-1)+IF(D268&lt;=0,0,-F267/D268),"")</f>
        <v/>
      </c>
    </row>
    <row r="269">
      <c r="A269">
        <f>A268+1</f>
        <v/>
      </c>
      <c r="B269">
        <f>IF(AdoptionRamp&lt;=0,1,MIN(1,A269/AdoptionRamp))</f>
        <v/>
      </c>
      <c r="C269">
        <f>Model!$B$8*B269</f>
        <v/>
      </c>
      <c r="D269">
        <f>C269*Model!$B$7-MonthlyRunCost</f>
        <v/>
      </c>
      <c r="E269" t="n">
        <v>0</v>
      </c>
      <c r="F269">
        <f>F268+D269</f>
        <v/>
      </c>
      <c r="H269">
        <f>IF(AND(F269&gt;=0,F268&lt;0),(A269-1)+IF(D269&lt;=0,0,-F268/D269),"")</f>
        <v/>
      </c>
    </row>
    <row r="270">
      <c r="A270">
        <f>A269+1</f>
        <v/>
      </c>
      <c r="B270">
        <f>IF(AdoptionRamp&lt;=0,1,MIN(1,A270/AdoptionRamp))</f>
        <v/>
      </c>
      <c r="C270">
        <f>Model!$B$8*B270</f>
        <v/>
      </c>
      <c r="D270">
        <f>C270*Model!$B$7-MonthlyRunCost</f>
        <v/>
      </c>
      <c r="E270" t="n">
        <v>0</v>
      </c>
      <c r="F270">
        <f>F269+D270</f>
        <v/>
      </c>
      <c r="H270">
        <f>IF(AND(F270&gt;=0,F269&lt;0),(A270-1)+IF(D270&lt;=0,0,-F269/D270),"")</f>
        <v/>
      </c>
    </row>
    <row r="271">
      <c r="A271">
        <f>A270+1</f>
        <v/>
      </c>
      <c r="B271">
        <f>IF(AdoptionRamp&lt;=0,1,MIN(1,A271/AdoptionRamp))</f>
        <v/>
      </c>
      <c r="C271">
        <f>Model!$B$8*B271</f>
        <v/>
      </c>
      <c r="D271">
        <f>C271*Model!$B$7-MonthlyRunCost</f>
        <v/>
      </c>
      <c r="E271" t="n">
        <v>0</v>
      </c>
      <c r="F271">
        <f>F270+D271</f>
        <v/>
      </c>
      <c r="H271">
        <f>IF(AND(F271&gt;=0,F270&lt;0),(A271-1)+IF(D271&lt;=0,0,-F270/D271),"")</f>
        <v/>
      </c>
    </row>
    <row r="272">
      <c r="A272">
        <f>A271+1</f>
        <v/>
      </c>
      <c r="B272">
        <f>IF(AdoptionRamp&lt;=0,1,MIN(1,A272/AdoptionRamp))</f>
        <v/>
      </c>
      <c r="C272">
        <f>Model!$B$8*B272</f>
        <v/>
      </c>
      <c r="D272">
        <f>C272*Model!$B$7-MonthlyRunCost</f>
        <v/>
      </c>
      <c r="E272" t="n">
        <v>0</v>
      </c>
      <c r="F272">
        <f>F271+D272</f>
        <v/>
      </c>
      <c r="H272">
        <f>IF(AND(F272&gt;=0,F271&lt;0),(A272-1)+IF(D272&lt;=0,0,-F271/D272),"")</f>
        <v/>
      </c>
    </row>
    <row r="273">
      <c r="A273">
        <f>A272+1</f>
        <v/>
      </c>
      <c r="B273">
        <f>IF(AdoptionRamp&lt;=0,1,MIN(1,A273/AdoptionRamp))</f>
        <v/>
      </c>
      <c r="C273">
        <f>Model!$B$8*B273</f>
        <v/>
      </c>
      <c r="D273">
        <f>C273*Model!$B$7-MonthlyRunCost</f>
        <v/>
      </c>
      <c r="E273" t="n">
        <v>0</v>
      </c>
      <c r="F273">
        <f>F272+D273</f>
        <v/>
      </c>
      <c r="H273">
        <f>IF(AND(F273&gt;=0,F272&lt;0),(A273-1)+IF(D273&lt;=0,0,-F272/D273),"")</f>
        <v/>
      </c>
    </row>
    <row r="274">
      <c r="A274">
        <f>A273+1</f>
        <v/>
      </c>
      <c r="B274">
        <f>IF(AdoptionRamp&lt;=0,1,MIN(1,A274/AdoptionRamp))</f>
        <v/>
      </c>
      <c r="C274">
        <f>Model!$B$8*B274</f>
        <v/>
      </c>
      <c r="D274">
        <f>C274*Model!$B$7-MonthlyRunCost</f>
        <v/>
      </c>
      <c r="E274" t="n">
        <v>0</v>
      </c>
      <c r="F274">
        <f>F273+D274</f>
        <v/>
      </c>
      <c r="H274">
        <f>IF(AND(F274&gt;=0,F273&lt;0),(A274-1)+IF(D274&lt;=0,0,-F273/D274),"")</f>
        <v/>
      </c>
    </row>
    <row r="275">
      <c r="A275">
        <f>A274+1</f>
        <v/>
      </c>
      <c r="B275">
        <f>IF(AdoptionRamp&lt;=0,1,MIN(1,A275/AdoptionRamp))</f>
        <v/>
      </c>
      <c r="C275">
        <f>Model!$B$8*B275</f>
        <v/>
      </c>
      <c r="D275">
        <f>C275*Model!$B$7-MonthlyRunCost</f>
        <v/>
      </c>
      <c r="E275" t="n">
        <v>0</v>
      </c>
      <c r="F275">
        <f>F274+D275</f>
        <v/>
      </c>
      <c r="H275">
        <f>IF(AND(F275&gt;=0,F274&lt;0),(A275-1)+IF(D275&lt;=0,0,-F274/D275),"")</f>
        <v/>
      </c>
    </row>
    <row r="276">
      <c r="A276">
        <f>A275+1</f>
        <v/>
      </c>
      <c r="B276">
        <f>IF(AdoptionRamp&lt;=0,1,MIN(1,A276/AdoptionRamp))</f>
        <v/>
      </c>
      <c r="C276">
        <f>Model!$B$8*B276</f>
        <v/>
      </c>
      <c r="D276">
        <f>C276*Model!$B$7-MonthlyRunCost</f>
        <v/>
      </c>
      <c r="E276" t="n">
        <v>0</v>
      </c>
      <c r="F276">
        <f>F275+D276</f>
        <v/>
      </c>
      <c r="H276">
        <f>IF(AND(F276&gt;=0,F275&lt;0),(A276-1)+IF(D276&lt;=0,0,-F275/D276),"")</f>
        <v/>
      </c>
    </row>
    <row r="277">
      <c r="A277">
        <f>A276+1</f>
        <v/>
      </c>
      <c r="B277">
        <f>IF(AdoptionRamp&lt;=0,1,MIN(1,A277/AdoptionRamp))</f>
        <v/>
      </c>
      <c r="C277">
        <f>Model!$B$8*B277</f>
        <v/>
      </c>
      <c r="D277">
        <f>C277*Model!$B$7-MonthlyRunCost</f>
        <v/>
      </c>
      <c r="E277" t="n">
        <v>0</v>
      </c>
      <c r="F277">
        <f>F276+D277</f>
        <v/>
      </c>
      <c r="H277">
        <f>IF(AND(F277&gt;=0,F276&lt;0),(A277-1)+IF(D277&lt;=0,0,-F276/D277),"")</f>
        <v/>
      </c>
    </row>
    <row r="278">
      <c r="A278">
        <f>A277+1</f>
        <v/>
      </c>
      <c r="B278">
        <f>IF(AdoptionRamp&lt;=0,1,MIN(1,A278/AdoptionRamp))</f>
        <v/>
      </c>
      <c r="C278">
        <f>Model!$B$8*B278</f>
        <v/>
      </c>
      <c r="D278">
        <f>C278*Model!$B$7-MonthlyRunCost</f>
        <v/>
      </c>
      <c r="E278" t="n">
        <v>0</v>
      </c>
      <c r="F278">
        <f>F277+D278</f>
        <v/>
      </c>
      <c r="H278">
        <f>IF(AND(F278&gt;=0,F277&lt;0),(A278-1)+IF(D278&lt;=0,0,-F277/D278),"")</f>
        <v/>
      </c>
    </row>
    <row r="279">
      <c r="A279">
        <f>A278+1</f>
        <v/>
      </c>
      <c r="B279">
        <f>IF(AdoptionRamp&lt;=0,1,MIN(1,A279/AdoptionRamp))</f>
        <v/>
      </c>
      <c r="C279">
        <f>Model!$B$8*B279</f>
        <v/>
      </c>
      <c r="D279">
        <f>C279*Model!$B$7-MonthlyRunCost</f>
        <v/>
      </c>
      <c r="E279" t="n">
        <v>0</v>
      </c>
      <c r="F279">
        <f>F278+D279</f>
        <v/>
      </c>
      <c r="H279">
        <f>IF(AND(F279&gt;=0,F278&lt;0),(A279-1)+IF(D279&lt;=0,0,-F278/D279),"")</f>
        <v/>
      </c>
    </row>
    <row r="280">
      <c r="A280">
        <f>A279+1</f>
        <v/>
      </c>
      <c r="B280">
        <f>IF(AdoptionRamp&lt;=0,1,MIN(1,A280/AdoptionRamp))</f>
        <v/>
      </c>
      <c r="C280">
        <f>Model!$B$8*B280</f>
        <v/>
      </c>
      <c r="D280">
        <f>C280*Model!$B$7-MonthlyRunCost</f>
        <v/>
      </c>
      <c r="E280" t="n">
        <v>0</v>
      </c>
      <c r="F280">
        <f>F279+D280</f>
        <v/>
      </c>
      <c r="H280">
        <f>IF(AND(F280&gt;=0,F279&lt;0),(A280-1)+IF(D280&lt;=0,0,-F279/D280),"")</f>
        <v/>
      </c>
    </row>
    <row r="281">
      <c r="A281">
        <f>A280+1</f>
        <v/>
      </c>
      <c r="B281">
        <f>IF(AdoptionRamp&lt;=0,1,MIN(1,A281/AdoptionRamp))</f>
        <v/>
      </c>
      <c r="C281">
        <f>Model!$B$8*B281</f>
        <v/>
      </c>
      <c r="D281">
        <f>C281*Model!$B$7-MonthlyRunCost</f>
        <v/>
      </c>
      <c r="E281" t="n">
        <v>0</v>
      </c>
      <c r="F281">
        <f>F280+D281</f>
        <v/>
      </c>
      <c r="H281">
        <f>IF(AND(F281&gt;=0,F280&lt;0),(A281-1)+IF(D281&lt;=0,0,-F280/D281),"")</f>
        <v/>
      </c>
    </row>
    <row r="282">
      <c r="A282">
        <f>A281+1</f>
        <v/>
      </c>
      <c r="B282">
        <f>IF(AdoptionRamp&lt;=0,1,MIN(1,A282/AdoptionRamp))</f>
        <v/>
      </c>
      <c r="C282">
        <f>Model!$B$8*B282</f>
        <v/>
      </c>
      <c r="D282">
        <f>C282*Model!$B$7-MonthlyRunCost</f>
        <v/>
      </c>
      <c r="E282" t="n">
        <v>0</v>
      </c>
      <c r="F282">
        <f>F281+D282</f>
        <v/>
      </c>
      <c r="H282">
        <f>IF(AND(F282&gt;=0,F281&lt;0),(A282-1)+IF(D282&lt;=0,0,-F281/D282),"")</f>
        <v/>
      </c>
    </row>
    <row r="283">
      <c r="A283">
        <f>A282+1</f>
        <v/>
      </c>
      <c r="B283">
        <f>IF(AdoptionRamp&lt;=0,1,MIN(1,A283/AdoptionRamp))</f>
        <v/>
      </c>
      <c r="C283">
        <f>Model!$B$8*B283</f>
        <v/>
      </c>
      <c r="D283">
        <f>C283*Model!$B$7-MonthlyRunCost</f>
        <v/>
      </c>
      <c r="E283" t="n">
        <v>0</v>
      </c>
      <c r="F283">
        <f>F282+D283</f>
        <v/>
      </c>
      <c r="H283">
        <f>IF(AND(F283&gt;=0,F282&lt;0),(A283-1)+IF(D283&lt;=0,0,-F282/D283),"")</f>
        <v/>
      </c>
    </row>
    <row r="284">
      <c r="A284">
        <f>A283+1</f>
        <v/>
      </c>
      <c r="B284">
        <f>IF(AdoptionRamp&lt;=0,1,MIN(1,A284/AdoptionRamp))</f>
        <v/>
      </c>
      <c r="C284">
        <f>Model!$B$8*B284</f>
        <v/>
      </c>
      <c r="D284">
        <f>C284*Model!$B$7-MonthlyRunCost</f>
        <v/>
      </c>
      <c r="E284" t="n">
        <v>0</v>
      </c>
      <c r="F284">
        <f>F283+D284</f>
        <v/>
      </c>
      <c r="H284">
        <f>IF(AND(F284&gt;=0,F283&lt;0),(A284-1)+IF(D284&lt;=0,0,-F283/D284),"")</f>
        <v/>
      </c>
    </row>
    <row r="285">
      <c r="A285">
        <f>A284+1</f>
        <v/>
      </c>
      <c r="B285">
        <f>IF(AdoptionRamp&lt;=0,1,MIN(1,A285/AdoptionRamp))</f>
        <v/>
      </c>
      <c r="C285">
        <f>Model!$B$8*B285</f>
        <v/>
      </c>
      <c r="D285">
        <f>C285*Model!$B$7-MonthlyRunCost</f>
        <v/>
      </c>
      <c r="E285" t="n">
        <v>0</v>
      </c>
      <c r="F285">
        <f>F284+D285</f>
        <v/>
      </c>
      <c r="H285">
        <f>IF(AND(F285&gt;=0,F284&lt;0),(A285-1)+IF(D285&lt;=0,0,-F284/D285),"")</f>
        <v/>
      </c>
    </row>
    <row r="286">
      <c r="A286">
        <f>A285+1</f>
        <v/>
      </c>
      <c r="B286">
        <f>IF(AdoptionRamp&lt;=0,1,MIN(1,A286/AdoptionRamp))</f>
        <v/>
      </c>
      <c r="C286">
        <f>Model!$B$8*B286</f>
        <v/>
      </c>
      <c r="D286">
        <f>C286*Model!$B$7-MonthlyRunCost</f>
        <v/>
      </c>
      <c r="E286" t="n">
        <v>0</v>
      </c>
      <c r="F286">
        <f>F285+D286</f>
        <v/>
      </c>
      <c r="H286">
        <f>IF(AND(F286&gt;=0,F285&lt;0),(A286-1)+IF(D286&lt;=0,0,-F285/D286),"")</f>
        <v/>
      </c>
    </row>
    <row r="287">
      <c r="A287">
        <f>A286+1</f>
        <v/>
      </c>
      <c r="B287">
        <f>IF(AdoptionRamp&lt;=0,1,MIN(1,A287/AdoptionRamp))</f>
        <v/>
      </c>
      <c r="C287">
        <f>Model!$B$8*B287</f>
        <v/>
      </c>
      <c r="D287">
        <f>C287*Model!$B$7-MonthlyRunCost</f>
        <v/>
      </c>
      <c r="E287" t="n">
        <v>0</v>
      </c>
      <c r="F287">
        <f>F286+D287</f>
        <v/>
      </c>
      <c r="H287">
        <f>IF(AND(F287&gt;=0,F286&lt;0),(A287-1)+IF(D287&lt;=0,0,-F286/D287),"")</f>
        <v/>
      </c>
    </row>
    <row r="288">
      <c r="A288">
        <f>A287+1</f>
        <v/>
      </c>
      <c r="B288">
        <f>IF(AdoptionRamp&lt;=0,1,MIN(1,A288/AdoptionRamp))</f>
        <v/>
      </c>
      <c r="C288">
        <f>Model!$B$8*B288</f>
        <v/>
      </c>
      <c r="D288">
        <f>C288*Model!$B$7-MonthlyRunCost</f>
        <v/>
      </c>
      <c r="E288" t="n">
        <v>0</v>
      </c>
      <c r="F288">
        <f>F287+D288</f>
        <v/>
      </c>
      <c r="H288">
        <f>IF(AND(F288&gt;=0,F287&lt;0),(A288-1)+IF(D288&lt;=0,0,-F287/D288),"")</f>
        <v/>
      </c>
    </row>
    <row r="289">
      <c r="A289">
        <f>A288+1</f>
        <v/>
      </c>
      <c r="B289">
        <f>IF(AdoptionRamp&lt;=0,1,MIN(1,A289/AdoptionRamp))</f>
        <v/>
      </c>
      <c r="C289">
        <f>Model!$B$8*B289</f>
        <v/>
      </c>
      <c r="D289">
        <f>C289*Model!$B$7-MonthlyRunCost</f>
        <v/>
      </c>
      <c r="E289" t="n">
        <v>0</v>
      </c>
      <c r="F289">
        <f>F288+D289</f>
        <v/>
      </c>
      <c r="H289">
        <f>IF(AND(F289&gt;=0,F288&lt;0),(A289-1)+IF(D289&lt;=0,0,-F288/D289),"")</f>
        <v/>
      </c>
    </row>
    <row r="290">
      <c r="A290">
        <f>A289+1</f>
        <v/>
      </c>
      <c r="B290">
        <f>IF(AdoptionRamp&lt;=0,1,MIN(1,A290/AdoptionRamp))</f>
        <v/>
      </c>
      <c r="C290">
        <f>Model!$B$8*B290</f>
        <v/>
      </c>
      <c r="D290">
        <f>C290*Model!$B$7-MonthlyRunCost</f>
        <v/>
      </c>
      <c r="E290" t="n">
        <v>0</v>
      </c>
      <c r="F290">
        <f>F289+D290</f>
        <v/>
      </c>
      <c r="H290">
        <f>IF(AND(F290&gt;=0,F289&lt;0),(A290-1)+IF(D290&lt;=0,0,-F289/D290),"")</f>
        <v/>
      </c>
    </row>
    <row r="291">
      <c r="A291">
        <f>A290+1</f>
        <v/>
      </c>
      <c r="B291">
        <f>IF(AdoptionRamp&lt;=0,1,MIN(1,A291/AdoptionRamp))</f>
        <v/>
      </c>
      <c r="C291">
        <f>Model!$B$8*B291</f>
        <v/>
      </c>
      <c r="D291">
        <f>C291*Model!$B$7-MonthlyRunCost</f>
        <v/>
      </c>
      <c r="E291" t="n">
        <v>0</v>
      </c>
      <c r="F291">
        <f>F290+D291</f>
        <v/>
      </c>
      <c r="H291">
        <f>IF(AND(F291&gt;=0,F290&lt;0),(A291-1)+IF(D291&lt;=0,0,-F290/D291),"")</f>
        <v/>
      </c>
    </row>
    <row r="292">
      <c r="A292">
        <f>A291+1</f>
        <v/>
      </c>
      <c r="B292">
        <f>IF(AdoptionRamp&lt;=0,1,MIN(1,A292/AdoptionRamp))</f>
        <v/>
      </c>
      <c r="C292">
        <f>Model!$B$8*B292</f>
        <v/>
      </c>
      <c r="D292">
        <f>C292*Model!$B$7-MonthlyRunCost</f>
        <v/>
      </c>
      <c r="E292" t="n">
        <v>0</v>
      </c>
      <c r="F292">
        <f>F291+D292</f>
        <v/>
      </c>
      <c r="H292">
        <f>IF(AND(F292&gt;=0,F291&lt;0),(A292-1)+IF(D292&lt;=0,0,-F291/D292),"")</f>
        <v/>
      </c>
    </row>
    <row r="293">
      <c r="A293">
        <f>A292+1</f>
        <v/>
      </c>
      <c r="B293">
        <f>IF(AdoptionRamp&lt;=0,1,MIN(1,A293/AdoptionRamp))</f>
        <v/>
      </c>
      <c r="C293">
        <f>Model!$B$8*B293</f>
        <v/>
      </c>
      <c r="D293">
        <f>C293*Model!$B$7-MonthlyRunCost</f>
        <v/>
      </c>
      <c r="E293" t="n">
        <v>0</v>
      </c>
      <c r="F293">
        <f>F292+D293</f>
        <v/>
      </c>
      <c r="H293">
        <f>IF(AND(F293&gt;=0,F292&lt;0),(A293-1)+IF(D293&lt;=0,0,-F292/D293),"")</f>
        <v/>
      </c>
    </row>
    <row r="294">
      <c r="A294">
        <f>A293+1</f>
        <v/>
      </c>
      <c r="B294">
        <f>IF(AdoptionRamp&lt;=0,1,MIN(1,A294/AdoptionRamp))</f>
        <v/>
      </c>
      <c r="C294">
        <f>Model!$B$8*B294</f>
        <v/>
      </c>
      <c r="D294">
        <f>C294*Model!$B$7-MonthlyRunCost</f>
        <v/>
      </c>
      <c r="E294" t="n">
        <v>0</v>
      </c>
      <c r="F294">
        <f>F293+D294</f>
        <v/>
      </c>
      <c r="H294">
        <f>IF(AND(F294&gt;=0,F293&lt;0),(A294-1)+IF(D294&lt;=0,0,-F293/D294),"")</f>
        <v/>
      </c>
    </row>
    <row r="295">
      <c r="A295">
        <f>A294+1</f>
        <v/>
      </c>
      <c r="B295">
        <f>IF(AdoptionRamp&lt;=0,1,MIN(1,A295/AdoptionRamp))</f>
        <v/>
      </c>
      <c r="C295">
        <f>Model!$B$8*B295</f>
        <v/>
      </c>
      <c r="D295">
        <f>C295*Model!$B$7-MonthlyRunCost</f>
        <v/>
      </c>
      <c r="E295" t="n">
        <v>0</v>
      </c>
      <c r="F295">
        <f>F294+D295</f>
        <v/>
      </c>
      <c r="H295">
        <f>IF(AND(F295&gt;=0,F294&lt;0),(A295-1)+IF(D295&lt;=0,0,-F294/D295),"")</f>
        <v/>
      </c>
    </row>
    <row r="296">
      <c r="A296">
        <f>A295+1</f>
        <v/>
      </c>
      <c r="B296">
        <f>IF(AdoptionRamp&lt;=0,1,MIN(1,A296/AdoptionRamp))</f>
        <v/>
      </c>
      <c r="C296">
        <f>Model!$B$8*B296</f>
        <v/>
      </c>
      <c r="D296">
        <f>C296*Model!$B$7-MonthlyRunCost</f>
        <v/>
      </c>
      <c r="E296" t="n">
        <v>0</v>
      </c>
      <c r="F296">
        <f>F295+D296</f>
        <v/>
      </c>
      <c r="H296">
        <f>IF(AND(F296&gt;=0,F295&lt;0),(A296-1)+IF(D296&lt;=0,0,-F295/D296),"")</f>
        <v/>
      </c>
    </row>
    <row r="297">
      <c r="A297">
        <f>A296+1</f>
        <v/>
      </c>
      <c r="B297">
        <f>IF(AdoptionRamp&lt;=0,1,MIN(1,A297/AdoptionRamp))</f>
        <v/>
      </c>
      <c r="C297">
        <f>Model!$B$8*B297</f>
        <v/>
      </c>
      <c r="D297">
        <f>C297*Model!$B$7-MonthlyRunCost</f>
        <v/>
      </c>
      <c r="E297" t="n">
        <v>0</v>
      </c>
      <c r="F297">
        <f>F296+D297</f>
        <v/>
      </c>
      <c r="H297">
        <f>IF(AND(F297&gt;=0,F296&lt;0),(A297-1)+IF(D297&lt;=0,0,-F296/D297),"")</f>
        <v/>
      </c>
    </row>
    <row r="298">
      <c r="A298">
        <f>A297+1</f>
        <v/>
      </c>
      <c r="B298">
        <f>IF(AdoptionRamp&lt;=0,1,MIN(1,A298/AdoptionRamp))</f>
        <v/>
      </c>
      <c r="C298">
        <f>Model!$B$8*B298</f>
        <v/>
      </c>
      <c r="D298">
        <f>C298*Model!$B$7-MonthlyRunCost</f>
        <v/>
      </c>
      <c r="E298" t="n">
        <v>0</v>
      </c>
      <c r="F298">
        <f>F297+D298</f>
        <v/>
      </c>
      <c r="H298">
        <f>IF(AND(F298&gt;=0,F297&lt;0),(A298-1)+IF(D298&lt;=0,0,-F297/D298),"")</f>
        <v/>
      </c>
    </row>
    <row r="299">
      <c r="A299">
        <f>A298+1</f>
        <v/>
      </c>
      <c r="B299">
        <f>IF(AdoptionRamp&lt;=0,1,MIN(1,A299/AdoptionRamp))</f>
        <v/>
      </c>
      <c r="C299">
        <f>Model!$B$8*B299</f>
        <v/>
      </c>
      <c r="D299">
        <f>C299*Model!$B$7-MonthlyRunCost</f>
        <v/>
      </c>
      <c r="E299" t="n">
        <v>0</v>
      </c>
      <c r="F299">
        <f>F298+D299</f>
        <v/>
      </c>
      <c r="H299">
        <f>IF(AND(F299&gt;=0,F298&lt;0),(A299-1)+IF(D299&lt;=0,0,-F298/D299),"")</f>
        <v/>
      </c>
    </row>
    <row r="300">
      <c r="A300">
        <f>A299+1</f>
        <v/>
      </c>
      <c r="B300">
        <f>IF(AdoptionRamp&lt;=0,1,MIN(1,A300/AdoptionRamp))</f>
        <v/>
      </c>
      <c r="C300">
        <f>Model!$B$8*B300</f>
        <v/>
      </c>
      <c r="D300">
        <f>C300*Model!$B$7-MonthlyRunCost</f>
        <v/>
      </c>
      <c r="E300" t="n">
        <v>0</v>
      </c>
      <c r="F300">
        <f>F299+D300</f>
        <v/>
      </c>
      <c r="H300">
        <f>IF(AND(F300&gt;=0,F299&lt;0),(A300-1)+IF(D300&lt;=0,0,-F299/D300),"")</f>
        <v/>
      </c>
    </row>
    <row r="301">
      <c r="A301">
        <f>A300+1</f>
        <v/>
      </c>
      <c r="B301">
        <f>IF(AdoptionRamp&lt;=0,1,MIN(1,A301/AdoptionRamp))</f>
        <v/>
      </c>
      <c r="C301">
        <f>Model!$B$8*B301</f>
        <v/>
      </c>
      <c r="D301">
        <f>C301*Model!$B$7-MonthlyRunCost</f>
        <v/>
      </c>
      <c r="E301" t="n">
        <v>0</v>
      </c>
      <c r="F301">
        <f>F300+D301</f>
        <v/>
      </c>
      <c r="H301">
        <f>IF(AND(F301&gt;=0,F300&lt;0),(A301-1)+IF(D301&lt;=0,0,-F300/D301),"")</f>
        <v/>
      </c>
    </row>
    <row r="302">
      <c r="A302">
        <f>A301+1</f>
        <v/>
      </c>
      <c r="B302">
        <f>IF(AdoptionRamp&lt;=0,1,MIN(1,A302/AdoptionRamp))</f>
        <v/>
      </c>
      <c r="C302">
        <f>Model!$B$8*B302</f>
        <v/>
      </c>
      <c r="D302">
        <f>C302*Model!$B$7-MonthlyRunCost</f>
        <v/>
      </c>
      <c r="E302" t="n">
        <v>0</v>
      </c>
      <c r="F302">
        <f>F301+D302</f>
        <v/>
      </c>
      <c r="H302">
        <f>IF(AND(F302&gt;=0,F301&lt;0),(A302-1)+IF(D302&lt;=0,0,-F301/D302),"")</f>
        <v/>
      </c>
    </row>
    <row r="303">
      <c r="A303">
        <f>A302+1</f>
        <v/>
      </c>
      <c r="B303">
        <f>IF(AdoptionRamp&lt;=0,1,MIN(1,A303/AdoptionRamp))</f>
        <v/>
      </c>
      <c r="C303">
        <f>Model!$B$8*B303</f>
        <v/>
      </c>
      <c r="D303">
        <f>C303*Model!$B$7-MonthlyRunCost</f>
        <v/>
      </c>
      <c r="E303" t="n">
        <v>0</v>
      </c>
      <c r="F303">
        <f>F302+D303</f>
        <v/>
      </c>
      <c r="H303">
        <f>IF(AND(F303&gt;=0,F302&lt;0),(A303-1)+IF(D303&lt;=0,0,-F302/D303),"")</f>
        <v/>
      </c>
    </row>
    <row r="304">
      <c r="A304">
        <f>A303+1</f>
        <v/>
      </c>
      <c r="B304">
        <f>IF(AdoptionRamp&lt;=0,1,MIN(1,A304/AdoptionRamp))</f>
        <v/>
      </c>
      <c r="C304">
        <f>Model!$B$8*B304</f>
        <v/>
      </c>
      <c r="D304">
        <f>C304*Model!$B$7-MonthlyRunCost</f>
        <v/>
      </c>
      <c r="E304" t="n">
        <v>0</v>
      </c>
      <c r="F304">
        <f>F303+D304</f>
        <v/>
      </c>
      <c r="H304">
        <f>IF(AND(F304&gt;=0,F303&lt;0),(A304-1)+IF(D304&lt;=0,0,-F303/D304),"")</f>
        <v/>
      </c>
    </row>
    <row r="305">
      <c r="A305">
        <f>A304+1</f>
        <v/>
      </c>
      <c r="B305">
        <f>IF(AdoptionRamp&lt;=0,1,MIN(1,A305/AdoptionRamp))</f>
        <v/>
      </c>
      <c r="C305">
        <f>Model!$B$8*B305</f>
        <v/>
      </c>
      <c r="D305">
        <f>C305*Model!$B$7-MonthlyRunCost</f>
        <v/>
      </c>
      <c r="E305" t="n">
        <v>0</v>
      </c>
      <c r="F305">
        <f>F304+D305</f>
        <v/>
      </c>
      <c r="H305">
        <f>IF(AND(F305&gt;=0,F304&lt;0),(A305-1)+IF(D305&lt;=0,0,-F304/D305),"")</f>
        <v/>
      </c>
    </row>
    <row r="306">
      <c r="A306">
        <f>A305+1</f>
        <v/>
      </c>
      <c r="B306">
        <f>IF(AdoptionRamp&lt;=0,1,MIN(1,A306/AdoptionRamp))</f>
        <v/>
      </c>
      <c r="C306">
        <f>Model!$B$8*B306</f>
        <v/>
      </c>
      <c r="D306">
        <f>C306*Model!$B$7-MonthlyRunCost</f>
        <v/>
      </c>
      <c r="E306" t="n">
        <v>0</v>
      </c>
      <c r="F306">
        <f>F305+D306</f>
        <v/>
      </c>
      <c r="H306">
        <f>IF(AND(F306&gt;=0,F305&lt;0),(A306-1)+IF(D306&lt;=0,0,-F305/D306),"")</f>
        <v/>
      </c>
    </row>
    <row r="307">
      <c r="A307">
        <f>A306+1</f>
        <v/>
      </c>
      <c r="B307">
        <f>IF(AdoptionRamp&lt;=0,1,MIN(1,A307/AdoptionRamp))</f>
        <v/>
      </c>
      <c r="C307">
        <f>Model!$B$8*B307</f>
        <v/>
      </c>
      <c r="D307">
        <f>C307*Model!$B$7-MonthlyRunCost</f>
        <v/>
      </c>
      <c r="E307" t="n">
        <v>0</v>
      </c>
      <c r="F307">
        <f>F306+D307</f>
        <v/>
      </c>
      <c r="H307">
        <f>IF(AND(F307&gt;=0,F306&lt;0),(A307-1)+IF(D307&lt;=0,0,-F306/D307),"")</f>
        <v/>
      </c>
    </row>
    <row r="308">
      <c r="A308">
        <f>A307+1</f>
        <v/>
      </c>
      <c r="B308">
        <f>IF(AdoptionRamp&lt;=0,1,MIN(1,A308/AdoptionRamp))</f>
        <v/>
      </c>
      <c r="C308">
        <f>Model!$B$8*B308</f>
        <v/>
      </c>
      <c r="D308">
        <f>C308*Model!$B$7-MonthlyRunCost</f>
        <v/>
      </c>
      <c r="E308" t="n">
        <v>0</v>
      </c>
      <c r="F308">
        <f>F307+D308</f>
        <v/>
      </c>
      <c r="H308">
        <f>IF(AND(F308&gt;=0,F307&lt;0),(A308-1)+IF(D308&lt;=0,0,-F307/D308),"")</f>
        <v/>
      </c>
    </row>
    <row r="309">
      <c r="A309">
        <f>A308+1</f>
        <v/>
      </c>
      <c r="B309">
        <f>IF(AdoptionRamp&lt;=0,1,MIN(1,A309/AdoptionRamp))</f>
        <v/>
      </c>
      <c r="C309">
        <f>Model!$B$8*B309</f>
        <v/>
      </c>
      <c r="D309">
        <f>C309*Model!$B$7-MonthlyRunCost</f>
        <v/>
      </c>
      <c r="E309" t="n">
        <v>0</v>
      </c>
      <c r="F309">
        <f>F308+D309</f>
        <v/>
      </c>
      <c r="H309">
        <f>IF(AND(F309&gt;=0,F308&lt;0),(A309-1)+IF(D309&lt;=0,0,-F308/D309),"")</f>
        <v/>
      </c>
    </row>
    <row r="310">
      <c r="A310">
        <f>A309+1</f>
        <v/>
      </c>
      <c r="B310">
        <f>IF(AdoptionRamp&lt;=0,1,MIN(1,A310/AdoptionRamp))</f>
        <v/>
      </c>
      <c r="C310">
        <f>Model!$B$8*B310</f>
        <v/>
      </c>
      <c r="D310">
        <f>C310*Model!$B$7-MonthlyRunCost</f>
        <v/>
      </c>
      <c r="E310" t="n">
        <v>0</v>
      </c>
      <c r="F310">
        <f>F309+D310</f>
        <v/>
      </c>
      <c r="H310">
        <f>IF(AND(F310&gt;=0,F309&lt;0),(A310-1)+IF(D310&lt;=0,0,-F309/D310),"")</f>
        <v/>
      </c>
    </row>
    <row r="311">
      <c r="A311">
        <f>A310+1</f>
        <v/>
      </c>
      <c r="B311">
        <f>IF(AdoptionRamp&lt;=0,1,MIN(1,A311/AdoptionRamp))</f>
        <v/>
      </c>
      <c r="C311">
        <f>Model!$B$8*B311</f>
        <v/>
      </c>
      <c r="D311">
        <f>C311*Model!$B$7-MonthlyRunCost</f>
        <v/>
      </c>
      <c r="E311" t="n">
        <v>0</v>
      </c>
      <c r="F311">
        <f>F310+D311</f>
        <v/>
      </c>
      <c r="H311">
        <f>IF(AND(F311&gt;=0,F310&lt;0),(A311-1)+IF(D311&lt;=0,0,-F310/D311),"")</f>
        <v/>
      </c>
    </row>
    <row r="312">
      <c r="A312">
        <f>A311+1</f>
        <v/>
      </c>
      <c r="B312">
        <f>IF(AdoptionRamp&lt;=0,1,MIN(1,A312/AdoptionRamp))</f>
        <v/>
      </c>
      <c r="C312">
        <f>Model!$B$8*B312</f>
        <v/>
      </c>
      <c r="D312">
        <f>C312*Model!$B$7-MonthlyRunCost</f>
        <v/>
      </c>
      <c r="E312" t="n">
        <v>0</v>
      </c>
      <c r="F312">
        <f>F311+D312</f>
        <v/>
      </c>
      <c r="H312">
        <f>IF(AND(F312&gt;=0,F311&lt;0),(A312-1)+IF(D312&lt;=0,0,-F311/D312),"")</f>
        <v/>
      </c>
    </row>
    <row r="313">
      <c r="A313">
        <f>A312+1</f>
        <v/>
      </c>
      <c r="B313">
        <f>IF(AdoptionRamp&lt;=0,1,MIN(1,A313/AdoptionRamp))</f>
        <v/>
      </c>
      <c r="C313">
        <f>Model!$B$8*B313</f>
        <v/>
      </c>
      <c r="D313">
        <f>C313*Model!$B$7-MonthlyRunCost</f>
        <v/>
      </c>
      <c r="E313" t="n">
        <v>0</v>
      </c>
      <c r="F313">
        <f>F312+D313</f>
        <v/>
      </c>
      <c r="H313">
        <f>IF(AND(F313&gt;=0,F312&lt;0),(A313-1)+IF(D313&lt;=0,0,-F312/D313),"")</f>
        <v/>
      </c>
    </row>
    <row r="314">
      <c r="A314">
        <f>A313+1</f>
        <v/>
      </c>
      <c r="B314">
        <f>IF(AdoptionRamp&lt;=0,1,MIN(1,A314/AdoptionRamp))</f>
        <v/>
      </c>
      <c r="C314">
        <f>Model!$B$8*B314</f>
        <v/>
      </c>
      <c r="D314">
        <f>C314*Model!$B$7-MonthlyRunCost</f>
        <v/>
      </c>
      <c r="E314" t="n">
        <v>0</v>
      </c>
      <c r="F314">
        <f>F313+D314</f>
        <v/>
      </c>
      <c r="H314">
        <f>IF(AND(F314&gt;=0,F313&lt;0),(A314-1)+IF(D314&lt;=0,0,-F313/D314),"")</f>
        <v/>
      </c>
    </row>
    <row r="315">
      <c r="A315">
        <f>A314+1</f>
        <v/>
      </c>
      <c r="B315">
        <f>IF(AdoptionRamp&lt;=0,1,MIN(1,A315/AdoptionRamp))</f>
        <v/>
      </c>
      <c r="C315">
        <f>Model!$B$8*B315</f>
        <v/>
      </c>
      <c r="D315">
        <f>C315*Model!$B$7-MonthlyRunCost</f>
        <v/>
      </c>
      <c r="E315" t="n">
        <v>0</v>
      </c>
      <c r="F315">
        <f>F314+D315</f>
        <v/>
      </c>
      <c r="H315">
        <f>IF(AND(F315&gt;=0,F314&lt;0),(A315-1)+IF(D315&lt;=0,0,-F314/D315),"")</f>
        <v/>
      </c>
    </row>
    <row r="316">
      <c r="A316">
        <f>A315+1</f>
        <v/>
      </c>
      <c r="B316">
        <f>IF(AdoptionRamp&lt;=0,1,MIN(1,A316/AdoptionRamp))</f>
        <v/>
      </c>
      <c r="C316">
        <f>Model!$B$8*B316</f>
        <v/>
      </c>
      <c r="D316">
        <f>C316*Model!$B$7-MonthlyRunCost</f>
        <v/>
      </c>
      <c r="E316" t="n">
        <v>0</v>
      </c>
      <c r="F316">
        <f>F315+D316</f>
        <v/>
      </c>
      <c r="H316">
        <f>IF(AND(F316&gt;=0,F315&lt;0),(A316-1)+IF(D316&lt;=0,0,-F315/D316),"")</f>
        <v/>
      </c>
    </row>
    <row r="317">
      <c r="A317">
        <f>A316+1</f>
        <v/>
      </c>
      <c r="B317">
        <f>IF(AdoptionRamp&lt;=0,1,MIN(1,A317/AdoptionRamp))</f>
        <v/>
      </c>
      <c r="C317">
        <f>Model!$B$8*B317</f>
        <v/>
      </c>
      <c r="D317">
        <f>C317*Model!$B$7-MonthlyRunCost</f>
        <v/>
      </c>
      <c r="E317" t="n">
        <v>0</v>
      </c>
      <c r="F317">
        <f>F316+D317</f>
        <v/>
      </c>
      <c r="H317">
        <f>IF(AND(F317&gt;=0,F316&lt;0),(A317-1)+IF(D317&lt;=0,0,-F316/D317),"")</f>
        <v/>
      </c>
    </row>
    <row r="318">
      <c r="A318">
        <f>A317+1</f>
        <v/>
      </c>
      <c r="B318">
        <f>IF(AdoptionRamp&lt;=0,1,MIN(1,A318/AdoptionRamp))</f>
        <v/>
      </c>
      <c r="C318">
        <f>Model!$B$8*B318</f>
        <v/>
      </c>
      <c r="D318">
        <f>C318*Model!$B$7-MonthlyRunCost</f>
        <v/>
      </c>
      <c r="E318" t="n">
        <v>0</v>
      </c>
      <c r="F318">
        <f>F317+D318</f>
        <v/>
      </c>
      <c r="H318">
        <f>IF(AND(F318&gt;=0,F317&lt;0),(A318-1)+IF(D318&lt;=0,0,-F317/D318),"")</f>
        <v/>
      </c>
    </row>
    <row r="319">
      <c r="A319">
        <f>A318+1</f>
        <v/>
      </c>
      <c r="B319">
        <f>IF(AdoptionRamp&lt;=0,1,MIN(1,A319/AdoptionRamp))</f>
        <v/>
      </c>
      <c r="C319">
        <f>Model!$B$8*B319</f>
        <v/>
      </c>
      <c r="D319">
        <f>C319*Model!$B$7-MonthlyRunCost</f>
        <v/>
      </c>
      <c r="E319" t="n">
        <v>0</v>
      </c>
      <c r="F319">
        <f>F318+D319</f>
        <v/>
      </c>
      <c r="H319">
        <f>IF(AND(F319&gt;=0,F318&lt;0),(A319-1)+IF(D319&lt;=0,0,-F318/D319),"")</f>
        <v/>
      </c>
    </row>
    <row r="320">
      <c r="A320">
        <f>A319+1</f>
        <v/>
      </c>
      <c r="B320">
        <f>IF(AdoptionRamp&lt;=0,1,MIN(1,A320/AdoptionRamp))</f>
        <v/>
      </c>
      <c r="C320">
        <f>Model!$B$8*B320</f>
        <v/>
      </c>
      <c r="D320">
        <f>C320*Model!$B$7-MonthlyRunCost</f>
        <v/>
      </c>
      <c r="E320" t="n">
        <v>0</v>
      </c>
      <c r="F320">
        <f>F319+D320</f>
        <v/>
      </c>
      <c r="H320">
        <f>IF(AND(F320&gt;=0,F319&lt;0),(A320-1)+IF(D320&lt;=0,0,-F319/D320),"")</f>
        <v/>
      </c>
    </row>
    <row r="321">
      <c r="A321">
        <f>A320+1</f>
        <v/>
      </c>
      <c r="B321">
        <f>IF(AdoptionRamp&lt;=0,1,MIN(1,A321/AdoptionRamp))</f>
        <v/>
      </c>
      <c r="C321">
        <f>Model!$B$8*B321</f>
        <v/>
      </c>
      <c r="D321">
        <f>C321*Model!$B$7-MonthlyRunCost</f>
        <v/>
      </c>
      <c r="E321" t="n">
        <v>0</v>
      </c>
      <c r="F321">
        <f>F320+D321</f>
        <v/>
      </c>
      <c r="H321">
        <f>IF(AND(F321&gt;=0,F320&lt;0),(A321-1)+IF(D321&lt;=0,0,-F320/D321),"")</f>
        <v/>
      </c>
    </row>
    <row r="322">
      <c r="A322">
        <f>A321+1</f>
        <v/>
      </c>
      <c r="B322">
        <f>IF(AdoptionRamp&lt;=0,1,MIN(1,A322/AdoptionRamp))</f>
        <v/>
      </c>
      <c r="C322">
        <f>Model!$B$8*B322</f>
        <v/>
      </c>
      <c r="D322">
        <f>C322*Model!$B$7-MonthlyRunCost</f>
        <v/>
      </c>
      <c r="E322" t="n">
        <v>0</v>
      </c>
      <c r="F322">
        <f>F321+D322</f>
        <v/>
      </c>
      <c r="H322">
        <f>IF(AND(F322&gt;=0,F321&lt;0),(A322-1)+IF(D322&lt;=0,0,-F321/D322),"")</f>
        <v/>
      </c>
    </row>
    <row r="323">
      <c r="A323">
        <f>A322+1</f>
        <v/>
      </c>
      <c r="B323">
        <f>IF(AdoptionRamp&lt;=0,1,MIN(1,A323/AdoptionRamp))</f>
        <v/>
      </c>
      <c r="C323">
        <f>Model!$B$8*B323</f>
        <v/>
      </c>
      <c r="D323">
        <f>C323*Model!$B$7-MonthlyRunCost</f>
        <v/>
      </c>
      <c r="E323" t="n">
        <v>0</v>
      </c>
      <c r="F323">
        <f>F322+D323</f>
        <v/>
      </c>
      <c r="H323">
        <f>IF(AND(F323&gt;=0,F322&lt;0),(A323-1)+IF(D323&lt;=0,0,-F322/D323),"")</f>
        <v/>
      </c>
    </row>
    <row r="324">
      <c r="A324">
        <f>A323+1</f>
        <v/>
      </c>
      <c r="B324">
        <f>IF(AdoptionRamp&lt;=0,1,MIN(1,A324/AdoptionRamp))</f>
        <v/>
      </c>
      <c r="C324">
        <f>Model!$B$8*B324</f>
        <v/>
      </c>
      <c r="D324">
        <f>C324*Model!$B$7-MonthlyRunCost</f>
        <v/>
      </c>
      <c r="E324" t="n">
        <v>0</v>
      </c>
      <c r="F324">
        <f>F323+D324</f>
        <v/>
      </c>
      <c r="H324">
        <f>IF(AND(F324&gt;=0,F323&lt;0),(A324-1)+IF(D324&lt;=0,0,-F323/D324),"")</f>
        <v/>
      </c>
    </row>
    <row r="325">
      <c r="A325">
        <f>A324+1</f>
        <v/>
      </c>
      <c r="B325">
        <f>IF(AdoptionRamp&lt;=0,1,MIN(1,A325/AdoptionRamp))</f>
        <v/>
      </c>
      <c r="C325">
        <f>Model!$B$8*B325</f>
        <v/>
      </c>
      <c r="D325">
        <f>C325*Model!$B$7-MonthlyRunCost</f>
        <v/>
      </c>
      <c r="E325" t="n">
        <v>0</v>
      </c>
      <c r="F325">
        <f>F324+D325</f>
        <v/>
      </c>
      <c r="H325">
        <f>IF(AND(F325&gt;=0,F324&lt;0),(A325-1)+IF(D325&lt;=0,0,-F324/D325),"")</f>
        <v/>
      </c>
    </row>
    <row r="326">
      <c r="A326">
        <f>A325+1</f>
        <v/>
      </c>
      <c r="B326">
        <f>IF(AdoptionRamp&lt;=0,1,MIN(1,A326/AdoptionRamp))</f>
        <v/>
      </c>
      <c r="C326">
        <f>Model!$B$8*B326</f>
        <v/>
      </c>
      <c r="D326">
        <f>C326*Model!$B$7-MonthlyRunCost</f>
        <v/>
      </c>
      <c r="E326" t="n">
        <v>0</v>
      </c>
      <c r="F326">
        <f>F325+D326</f>
        <v/>
      </c>
      <c r="H326">
        <f>IF(AND(F326&gt;=0,F325&lt;0),(A326-1)+IF(D326&lt;=0,0,-F325/D326),"")</f>
        <v/>
      </c>
    </row>
    <row r="327">
      <c r="A327">
        <f>A326+1</f>
        <v/>
      </c>
      <c r="B327">
        <f>IF(AdoptionRamp&lt;=0,1,MIN(1,A327/AdoptionRamp))</f>
        <v/>
      </c>
      <c r="C327">
        <f>Model!$B$8*B327</f>
        <v/>
      </c>
      <c r="D327">
        <f>C327*Model!$B$7-MonthlyRunCost</f>
        <v/>
      </c>
      <c r="E327" t="n">
        <v>0</v>
      </c>
      <c r="F327">
        <f>F326+D327</f>
        <v/>
      </c>
      <c r="H327">
        <f>IF(AND(F327&gt;=0,F326&lt;0),(A327-1)+IF(D327&lt;=0,0,-F326/D327),"")</f>
        <v/>
      </c>
    </row>
    <row r="328">
      <c r="A328">
        <f>A327+1</f>
        <v/>
      </c>
      <c r="B328">
        <f>IF(AdoptionRamp&lt;=0,1,MIN(1,A328/AdoptionRamp))</f>
        <v/>
      </c>
      <c r="C328">
        <f>Model!$B$8*B328</f>
        <v/>
      </c>
      <c r="D328">
        <f>C328*Model!$B$7-MonthlyRunCost</f>
        <v/>
      </c>
      <c r="E328" t="n">
        <v>0</v>
      </c>
      <c r="F328">
        <f>F327+D328</f>
        <v/>
      </c>
      <c r="H328">
        <f>IF(AND(F328&gt;=0,F327&lt;0),(A328-1)+IF(D328&lt;=0,0,-F327/D328),"")</f>
        <v/>
      </c>
    </row>
    <row r="329">
      <c r="A329">
        <f>A328+1</f>
        <v/>
      </c>
      <c r="B329">
        <f>IF(AdoptionRamp&lt;=0,1,MIN(1,A329/AdoptionRamp))</f>
        <v/>
      </c>
      <c r="C329">
        <f>Model!$B$8*B329</f>
        <v/>
      </c>
      <c r="D329">
        <f>C329*Model!$B$7-MonthlyRunCost</f>
        <v/>
      </c>
      <c r="E329" t="n">
        <v>0</v>
      </c>
      <c r="F329">
        <f>F328+D329</f>
        <v/>
      </c>
      <c r="H329">
        <f>IF(AND(F329&gt;=0,F328&lt;0),(A329-1)+IF(D329&lt;=0,0,-F328/D329),"")</f>
        <v/>
      </c>
    </row>
    <row r="330">
      <c r="A330">
        <f>A329+1</f>
        <v/>
      </c>
      <c r="B330">
        <f>IF(AdoptionRamp&lt;=0,1,MIN(1,A330/AdoptionRamp))</f>
        <v/>
      </c>
      <c r="C330">
        <f>Model!$B$8*B330</f>
        <v/>
      </c>
      <c r="D330">
        <f>C330*Model!$B$7-MonthlyRunCost</f>
        <v/>
      </c>
      <c r="E330" t="n">
        <v>0</v>
      </c>
      <c r="F330">
        <f>F329+D330</f>
        <v/>
      </c>
      <c r="H330">
        <f>IF(AND(F330&gt;=0,F329&lt;0),(A330-1)+IF(D330&lt;=0,0,-F329/D330),"")</f>
        <v/>
      </c>
    </row>
    <row r="331">
      <c r="A331">
        <f>A330+1</f>
        <v/>
      </c>
      <c r="B331">
        <f>IF(AdoptionRamp&lt;=0,1,MIN(1,A331/AdoptionRamp))</f>
        <v/>
      </c>
      <c r="C331">
        <f>Model!$B$8*B331</f>
        <v/>
      </c>
      <c r="D331">
        <f>C331*Model!$B$7-MonthlyRunCost</f>
        <v/>
      </c>
      <c r="E331" t="n">
        <v>0</v>
      </c>
      <c r="F331">
        <f>F330+D331</f>
        <v/>
      </c>
      <c r="H331">
        <f>IF(AND(F331&gt;=0,F330&lt;0),(A331-1)+IF(D331&lt;=0,0,-F330/D331),"")</f>
        <v/>
      </c>
    </row>
    <row r="332">
      <c r="A332">
        <f>A331+1</f>
        <v/>
      </c>
      <c r="B332">
        <f>IF(AdoptionRamp&lt;=0,1,MIN(1,A332/AdoptionRamp))</f>
        <v/>
      </c>
      <c r="C332">
        <f>Model!$B$8*B332</f>
        <v/>
      </c>
      <c r="D332">
        <f>C332*Model!$B$7-MonthlyRunCost</f>
        <v/>
      </c>
      <c r="E332" t="n">
        <v>0</v>
      </c>
      <c r="F332">
        <f>F331+D332</f>
        <v/>
      </c>
      <c r="H332">
        <f>IF(AND(F332&gt;=0,F331&lt;0),(A332-1)+IF(D332&lt;=0,0,-F331/D332),"")</f>
        <v/>
      </c>
    </row>
    <row r="333">
      <c r="A333">
        <f>A332+1</f>
        <v/>
      </c>
      <c r="B333">
        <f>IF(AdoptionRamp&lt;=0,1,MIN(1,A333/AdoptionRamp))</f>
        <v/>
      </c>
      <c r="C333">
        <f>Model!$B$8*B333</f>
        <v/>
      </c>
      <c r="D333">
        <f>C333*Model!$B$7-MonthlyRunCost</f>
        <v/>
      </c>
      <c r="E333" t="n">
        <v>0</v>
      </c>
      <c r="F333">
        <f>F332+D333</f>
        <v/>
      </c>
      <c r="H333">
        <f>IF(AND(F333&gt;=0,F332&lt;0),(A333-1)+IF(D333&lt;=0,0,-F332/D333),"")</f>
        <v/>
      </c>
    </row>
    <row r="334">
      <c r="A334">
        <f>A333+1</f>
        <v/>
      </c>
      <c r="B334">
        <f>IF(AdoptionRamp&lt;=0,1,MIN(1,A334/AdoptionRamp))</f>
        <v/>
      </c>
      <c r="C334">
        <f>Model!$B$8*B334</f>
        <v/>
      </c>
      <c r="D334">
        <f>C334*Model!$B$7-MonthlyRunCost</f>
        <v/>
      </c>
      <c r="E334" t="n">
        <v>0</v>
      </c>
      <c r="F334">
        <f>F333+D334</f>
        <v/>
      </c>
      <c r="H334">
        <f>IF(AND(F334&gt;=0,F333&lt;0),(A334-1)+IF(D334&lt;=0,0,-F333/D334),"")</f>
        <v/>
      </c>
    </row>
    <row r="335">
      <c r="A335">
        <f>A334+1</f>
        <v/>
      </c>
      <c r="B335">
        <f>IF(AdoptionRamp&lt;=0,1,MIN(1,A335/AdoptionRamp))</f>
        <v/>
      </c>
      <c r="C335">
        <f>Model!$B$8*B335</f>
        <v/>
      </c>
      <c r="D335">
        <f>C335*Model!$B$7-MonthlyRunCost</f>
        <v/>
      </c>
      <c r="E335" t="n">
        <v>0</v>
      </c>
      <c r="F335">
        <f>F334+D335</f>
        <v/>
      </c>
      <c r="H335">
        <f>IF(AND(F335&gt;=0,F334&lt;0),(A335-1)+IF(D335&lt;=0,0,-F334/D335),"")</f>
        <v/>
      </c>
    </row>
    <row r="336">
      <c r="A336">
        <f>A335+1</f>
        <v/>
      </c>
      <c r="B336">
        <f>IF(AdoptionRamp&lt;=0,1,MIN(1,A336/AdoptionRamp))</f>
        <v/>
      </c>
      <c r="C336">
        <f>Model!$B$8*B336</f>
        <v/>
      </c>
      <c r="D336">
        <f>C336*Model!$B$7-MonthlyRunCost</f>
        <v/>
      </c>
      <c r="E336" t="n">
        <v>0</v>
      </c>
      <c r="F336">
        <f>F335+D336</f>
        <v/>
      </c>
      <c r="H336">
        <f>IF(AND(F336&gt;=0,F335&lt;0),(A336-1)+IF(D336&lt;=0,0,-F335/D336),"")</f>
        <v/>
      </c>
    </row>
    <row r="337">
      <c r="A337">
        <f>A336+1</f>
        <v/>
      </c>
      <c r="B337">
        <f>IF(AdoptionRamp&lt;=0,1,MIN(1,A337/AdoptionRamp))</f>
        <v/>
      </c>
      <c r="C337">
        <f>Model!$B$8*B337</f>
        <v/>
      </c>
      <c r="D337">
        <f>C337*Model!$B$7-MonthlyRunCost</f>
        <v/>
      </c>
      <c r="E337" t="n">
        <v>0</v>
      </c>
      <c r="F337">
        <f>F336+D337</f>
        <v/>
      </c>
      <c r="H337">
        <f>IF(AND(F337&gt;=0,F336&lt;0),(A337-1)+IF(D337&lt;=0,0,-F336/D337),"")</f>
        <v/>
      </c>
    </row>
    <row r="338">
      <c r="A338">
        <f>A337+1</f>
        <v/>
      </c>
      <c r="B338">
        <f>IF(AdoptionRamp&lt;=0,1,MIN(1,A338/AdoptionRamp))</f>
        <v/>
      </c>
      <c r="C338">
        <f>Model!$B$8*B338</f>
        <v/>
      </c>
      <c r="D338">
        <f>C338*Model!$B$7-MonthlyRunCost</f>
        <v/>
      </c>
      <c r="E338" t="n">
        <v>0</v>
      </c>
      <c r="F338">
        <f>F337+D338</f>
        <v/>
      </c>
      <c r="H338">
        <f>IF(AND(F338&gt;=0,F337&lt;0),(A338-1)+IF(D338&lt;=0,0,-F337/D338),"")</f>
        <v/>
      </c>
    </row>
    <row r="339">
      <c r="A339">
        <f>A338+1</f>
        <v/>
      </c>
      <c r="B339">
        <f>IF(AdoptionRamp&lt;=0,1,MIN(1,A339/AdoptionRamp))</f>
        <v/>
      </c>
      <c r="C339">
        <f>Model!$B$8*B339</f>
        <v/>
      </c>
      <c r="D339">
        <f>C339*Model!$B$7-MonthlyRunCost</f>
        <v/>
      </c>
      <c r="E339" t="n">
        <v>0</v>
      </c>
      <c r="F339">
        <f>F338+D339</f>
        <v/>
      </c>
      <c r="H339">
        <f>IF(AND(F339&gt;=0,F338&lt;0),(A339-1)+IF(D339&lt;=0,0,-F338/D339),"")</f>
        <v/>
      </c>
    </row>
    <row r="340">
      <c r="A340">
        <f>A339+1</f>
        <v/>
      </c>
      <c r="B340">
        <f>IF(AdoptionRamp&lt;=0,1,MIN(1,A340/AdoptionRamp))</f>
        <v/>
      </c>
      <c r="C340">
        <f>Model!$B$8*B340</f>
        <v/>
      </c>
      <c r="D340">
        <f>C340*Model!$B$7-MonthlyRunCost</f>
        <v/>
      </c>
      <c r="E340" t="n">
        <v>0</v>
      </c>
      <c r="F340">
        <f>F339+D340</f>
        <v/>
      </c>
      <c r="H340">
        <f>IF(AND(F340&gt;=0,F339&lt;0),(A340-1)+IF(D340&lt;=0,0,-F339/D340),"")</f>
        <v/>
      </c>
    </row>
    <row r="341">
      <c r="A341">
        <f>A340+1</f>
        <v/>
      </c>
      <c r="B341">
        <f>IF(AdoptionRamp&lt;=0,1,MIN(1,A341/AdoptionRamp))</f>
        <v/>
      </c>
      <c r="C341">
        <f>Model!$B$8*B341</f>
        <v/>
      </c>
      <c r="D341">
        <f>C341*Model!$B$7-MonthlyRunCost</f>
        <v/>
      </c>
      <c r="E341" t="n">
        <v>0</v>
      </c>
      <c r="F341">
        <f>F340+D341</f>
        <v/>
      </c>
      <c r="H341">
        <f>IF(AND(F341&gt;=0,F340&lt;0),(A341-1)+IF(D341&lt;=0,0,-F340/D341),"")</f>
        <v/>
      </c>
    </row>
    <row r="342">
      <c r="A342">
        <f>A341+1</f>
        <v/>
      </c>
      <c r="B342">
        <f>IF(AdoptionRamp&lt;=0,1,MIN(1,A342/AdoptionRamp))</f>
        <v/>
      </c>
      <c r="C342">
        <f>Model!$B$8*B342</f>
        <v/>
      </c>
      <c r="D342">
        <f>C342*Model!$B$7-MonthlyRunCost</f>
        <v/>
      </c>
      <c r="E342" t="n">
        <v>0</v>
      </c>
      <c r="F342">
        <f>F341+D342</f>
        <v/>
      </c>
      <c r="H342">
        <f>IF(AND(F342&gt;=0,F341&lt;0),(A342-1)+IF(D342&lt;=0,0,-F341/D342),"")</f>
        <v/>
      </c>
    </row>
    <row r="343">
      <c r="A343">
        <f>A342+1</f>
        <v/>
      </c>
      <c r="B343">
        <f>IF(AdoptionRamp&lt;=0,1,MIN(1,A343/AdoptionRamp))</f>
        <v/>
      </c>
      <c r="C343">
        <f>Model!$B$8*B343</f>
        <v/>
      </c>
      <c r="D343">
        <f>C343*Model!$B$7-MonthlyRunCost</f>
        <v/>
      </c>
      <c r="E343" t="n">
        <v>0</v>
      </c>
      <c r="F343">
        <f>F342+D343</f>
        <v/>
      </c>
      <c r="H343">
        <f>IF(AND(F343&gt;=0,F342&lt;0),(A343-1)+IF(D343&lt;=0,0,-F342/D343),"")</f>
        <v/>
      </c>
    </row>
    <row r="344">
      <c r="A344">
        <f>A343+1</f>
        <v/>
      </c>
      <c r="B344">
        <f>IF(AdoptionRamp&lt;=0,1,MIN(1,A344/AdoptionRamp))</f>
        <v/>
      </c>
      <c r="C344">
        <f>Model!$B$8*B344</f>
        <v/>
      </c>
      <c r="D344">
        <f>C344*Model!$B$7-MonthlyRunCost</f>
        <v/>
      </c>
      <c r="E344" t="n">
        <v>0</v>
      </c>
      <c r="F344">
        <f>F343+D344</f>
        <v/>
      </c>
      <c r="H344">
        <f>IF(AND(F344&gt;=0,F343&lt;0),(A344-1)+IF(D344&lt;=0,0,-F343/D344),"")</f>
        <v/>
      </c>
    </row>
    <row r="345">
      <c r="A345">
        <f>A344+1</f>
        <v/>
      </c>
      <c r="B345">
        <f>IF(AdoptionRamp&lt;=0,1,MIN(1,A345/AdoptionRamp))</f>
        <v/>
      </c>
      <c r="C345">
        <f>Model!$B$8*B345</f>
        <v/>
      </c>
      <c r="D345">
        <f>C345*Model!$B$7-MonthlyRunCost</f>
        <v/>
      </c>
      <c r="E345" t="n">
        <v>0</v>
      </c>
      <c r="F345">
        <f>F344+D345</f>
        <v/>
      </c>
      <c r="H345">
        <f>IF(AND(F345&gt;=0,F344&lt;0),(A345-1)+IF(D345&lt;=0,0,-F344/D345),"")</f>
        <v/>
      </c>
    </row>
    <row r="346">
      <c r="A346">
        <f>A345+1</f>
        <v/>
      </c>
      <c r="B346">
        <f>IF(AdoptionRamp&lt;=0,1,MIN(1,A346/AdoptionRamp))</f>
        <v/>
      </c>
      <c r="C346">
        <f>Model!$B$8*B346</f>
        <v/>
      </c>
      <c r="D346">
        <f>C346*Model!$B$7-MonthlyRunCost</f>
        <v/>
      </c>
      <c r="E346" t="n">
        <v>0</v>
      </c>
      <c r="F346">
        <f>F345+D346</f>
        <v/>
      </c>
      <c r="H346">
        <f>IF(AND(F346&gt;=0,F345&lt;0),(A346-1)+IF(D346&lt;=0,0,-F345/D346),"")</f>
        <v/>
      </c>
    </row>
    <row r="347">
      <c r="A347">
        <f>A346+1</f>
        <v/>
      </c>
      <c r="B347">
        <f>IF(AdoptionRamp&lt;=0,1,MIN(1,A347/AdoptionRamp))</f>
        <v/>
      </c>
      <c r="C347">
        <f>Model!$B$8*B347</f>
        <v/>
      </c>
      <c r="D347">
        <f>C347*Model!$B$7-MonthlyRunCost</f>
        <v/>
      </c>
      <c r="E347" t="n">
        <v>0</v>
      </c>
      <c r="F347">
        <f>F346+D347</f>
        <v/>
      </c>
      <c r="H347">
        <f>IF(AND(F347&gt;=0,F346&lt;0),(A347-1)+IF(D347&lt;=0,0,-F346/D347),"")</f>
        <v/>
      </c>
    </row>
    <row r="348">
      <c r="A348">
        <f>A347+1</f>
        <v/>
      </c>
      <c r="B348">
        <f>IF(AdoptionRamp&lt;=0,1,MIN(1,A348/AdoptionRamp))</f>
        <v/>
      </c>
      <c r="C348">
        <f>Model!$B$8*B348</f>
        <v/>
      </c>
      <c r="D348">
        <f>C348*Model!$B$7-MonthlyRunCost</f>
        <v/>
      </c>
      <c r="E348" t="n">
        <v>0</v>
      </c>
      <c r="F348">
        <f>F347+D348</f>
        <v/>
      </c>
      <c r="H348">
        <f>IF(AND(F348&gt;=0,F347&lt;0),(A348-1)+IF(D348&lt;=0,0,-F347/D348),"")</f>
        <v/>
      </c>
    </row>
    <row r="349">
      <c r="A349">
        <f>A348+1</f>
        <v/>
      </c>
      <c r="B349">
        <f>IF(AdoptionRamp&lt;=0,1,MIN(1,A349/AdoptionRamp))</f>
        <v/>
      </c>
      <c r="C349">
        <f>Model!$B$8*B349</f>
        <v/>
      </c>
      <c r="D349">
        <f>C349*Model!$B$7-MonthlyRunCost</f>
        <v/>
      </c>
      <c r="E349" t="n">
        <v>0</v>
      </c>
      <c r="F349">
        <f>F348+D349</f>
        <v/>
      </c>
      <c r="H349">
        <f>IF(AND(F349&gt;=0,F348&lt;0),(A349-1)+IF(D349&lt;=0,0,-F348/D349),"")</f>
        <v/>
      </c>
    </row>
    <row r="350">
      <c r="A350">
        <f>A349+1</f>
        <v/>
      </c>
      <c r="B350">
        <f>IF(AdoptionRamp&lt;=0,1,MIN(1,A350/AdoptionRamp))</f>
        <v/>
      </c>
      <c r="C350">
        <f>Model!$B$8*B350</f>
        <v/>
      </c>
      <c r="D350">
        <f>C350*Model!$B$7-MonthlyRunCost</f>
        <v/>
      </c>
      <c r="E350" t="n">
        <v>0</v>
      </c>
      <c r="F350">
        <f>F349+D350</f>
        <v/>
      </c>
      <c r="H350">
        <f>IF(AND(F350&gt;=0,F349&lt;0),(A350-1)+IF(D350&lt;=0,0,-F349/D350),"")</f>
        <v/>
      </c>
    </row>
    <row r="351">
      <c r="A351">
        <f>A350+1</f>
        <v/>
      </c>
      <c r="B351">
        <f>IF(AdoptionRamp&lt;=0,1,MIN(1,A351/AdoptionRamp))</f>
        <v/>
      </c>
      <c r="C351">
        <f>Model!$B$8*B351</f>
        <v/>
      </c>
      <c r="D351">
        <f>C351*Model!$B$7-MonthlyRunCost</f>
        <v/>
      </c>
      <c r="E351" t="n">
        <v>0</v>
      </c>
      <c r="F351">
        <f>F350+D351</f>
        <v/>
      </c>
      <c r="H351">
        <f>IF(AND(F351&gt;=0,F350&lt;0),(A351-1)+IF(D351&lt;=0,0,-F350/D351),"")</f>
        <v/>
      </c>
    </row>
    <row r="352">
      <c r="A352">
        <f>A351+1</f>
        <v/>
      </c>
      <c r="B352">
        <f>IF(AdoptionRamp&lt;=0,1,MIN(1,A352/AdoptionRamp))</f>
        <v/>
      </c>
      <c r="C352">
        <f>Model!$B$8*B352</f>
        <v/>
      </c>
      <c r="D352">
        <f>C352*Model!$B$7-MonthlyRunCost</f>
        <v/>
      </c>
      <c r="E352" t="n">
        <v>0</v>
      </c>
      <c r="F352">
        <f>F351+D352</f>
        <v/>
      </c>
      <c r="H352">
        <f>IF(AND(F352&gt;=0,F351&lt;0),(A352-1)+IF(D352&lt;=0,0,-F351/D352),"")</f>
        <v/>
      </c>
    </row>
    <row r="353">
      <c r="A353">
        <f>A352+1</f>
        <v/>
      </c>
      <c r="B353">
        <f>IF(AdoptionRamp&lt;=0,1,MIN(1,A353/AdoptionRamp))</f>
        <v/>
      </c>
      <c r="C353">
        <f>Model!$B$8*B353</f>
        <v/>
      </c>
      <c r="D353">
        <f>C353*Model!$B$7-MonthlyRunCost</f>
        <v/>
      </c>
      <c r="E353" t="n">
        <v>0</v>
      </c>
      <c r="F353">
        <f>F352+D353</f>
        <v/>
      </c>
      <c r="H353">
        <f>IF(AND(F353&gt;=0,F352&lt;0),(A353-1)+IF(D353&lt;=0,0,-F352/D353),"")</f>
        <v/>
      </c>
    </row>
    <row r="354">
      <c r="A354">
        <f>A353+1</f>
        <v/>
      </c>
      <c r="B354">
        <f>IF(AdoptionRamp&lt;=0,1,MIN(1,A354/AdoptionRamp))</f>
        <v/>
      </c>
      <c r="C354">
        <f>Model!$B$8*B354</f>
        <v/>
      </c>
      <c r="D354">
        <f>C354*Model!$B$7-MonthlyRunCost</f>
        <v/>
      </c>
      <c r="E354" t="n">
        <v>0</v>
      </c>
      <c r="F354">
        <f>F353+D354</f>
        <v/>
      </c>
      <c r="H354">
        <f>IF(AND(F354&gt;=0,F353&lt;0),(A354-1)+IF(D354&lt;=0,0,-F353/D354),"")</f>
        <v/>
      </c>
    </row>
    <row r="355">
      <c r="A355">
        <f>A354+1</f>
        <v/>
      </c>
      <c r="B355">
        <f>IF(AdoptionRamp&lt;=0,1,MIN(1,A355/AdoptionRamp))</f>
        <v/>
      </c>
      <c r="C355">
        <f>Model!$B$8*B355</f>
        <v/>
      </c>
      <c r="D355">
        <f>C355*Model!$B$7-MonthlyRunCost</f>
        <v/>
      </c>
      <c r="E355" t="n">
        <v>0</v>
      </c>
      <c r="F355">
        <f>F354+D355</f>
        <v/>
      </c>
      <c r="H355">
        <f>IF(AND(F355&gt;=0,F354&lt;0),(A355-1)+IF(D355&lt;=0,0,-F354/D355),"")</f>
        <v/>
      </c>
    </row>
    <row r="356">
      <c r="A356">
        <f>A355+1</f>
        <v/>
      </c>
      <c r="B356">
        <f>IF(AdoptionRamp&lt;=0,1,MIN(1,A356/AdoptionRamp))</f>
        <v/>
      </c>
      <c r="C356">
        <f>Model!$B$8*B356</f>
        <v/>
      </c>
      <c r="D356">
        <f>C356*Model!$B$7-MonthlyRunCost</f>
        <v/>
      </c>
      <c r="E356" t="n">
        <v>0</v>
      </c>
      <c r="F356">
        <f>F355+D356</f>
        <v/>
      </c>
      <c r="H356">
        <f>IF(AND(F356&gt;=0,F355&lt;0),(A356-1)+IF(D356&lt;=0,0,-F355/D356),"")</f>
        <v/>
      </c>
    </row>
    <row r="357">
      <c r="A357">
        <f>A356+1</f>
        <v/>
      </c>
      <c r="B357">
        <f>IF(AdoptionRamp&lt;=0,1,MIN(1,A357/AdoptionRamp))</f>
        <v/>
      </c>
      <c r="C357">
        <f>Model!$B$8*B357</f>
        <v/>
      </c>
      <c r="D357">
        <f>C357*Model!$B$7-MonthlyRunCost</f>
        <v/>
      </c>
      <c r="E357" t="n">
        <v>0</v>
      </c>
      <c r="F357">
        <f>F356+D357</f>
        <v/>
      </c>
      <c r="H357">
        <f>IF(AND(F357&gt;=0,F356&lt;0),(A357-1)+IF(D357&lt;=0,0,-F356/D357),"")</f>
        <v/>
      </c>
    </row>
    <row r="358">
      <c r="A358">
        <f>A357+1</f>
        <v/>
      </c>
      <c r="B358">
        <f>IF(AdoptionRamp&lt;=0,1,MIN(1,A358/AdoptionRamp))</f>
        <v/>
      </c>
      <c r="C358">
        <f>Model!$B$8*B358</f>
        <v/>
      </c>
      <c r="D358">
        <f>C358*Model!$B$7-MonthlyRunCost</f>
        <v/>
      </c>
      <c r="E358" t="n">
        <v>0</v>
      </c>
      <c r="F358">
        <f>F357+D358</f>
        <v/>
      </c>
      <c r="H358">
        <f>IF(AND(F358&gt;=0,F357&lt;0),(A358-1)+IF(D358&lt;=0,0,-F357/D358),"")</f>
        <v/>
      </c>
    </row>
    <row r="359">
      <c r="A359">
        <f>A358+1</f>
        <v/>
      </c>
      <c r="B359">
        <f>IF(AdoptionRamp&lt;=0,1,MIN(1,A359/AdoptionRamp))</f>
        <v/>
      </c>
      <c r="C359">
        <f>Model!$B$8*B359</f>
        <v/>
      </c>
      <c r="D359">
        <f>C359*Model!$B$7-MonthlyRunCost</f>
        <v/>
      </c>
      <c r="E359" t="n">
        <v>0</v>
      </c>
      <c r="F359">
        <f>F358+D359</f>
        <v/>
      </c>
      <c r="H359">
        <f>IF(AND(F359&gt;=0,F358&lt;0),(A359-1)+IF(D359&lt;=0,0,-F358/D359),"")</f>
        <v/>
      </c>
    </row>
    <row r="360">
      <c r="A360">
        <f>A359+1</f>
        <v/>
      </c>
      <c r="B360">
        <f>IF(AdoptionRamp&lt;=0,1,MIN(1,A360/AdoptionRamp))</f>
        <v/>
      </c>
      <c r="C360">
        <f>Model!$B$8*B360</f>
        <v/>
      </c>
      <c r="D360">
        <f>C360*Model!$B$7-MonthlyRunCost</f>
        <v/>
      </c>
      <c r="E360" t="n">
        <v>0</v>
      </c>
      <c r="F360">
        <f>F359+D360</f>
        <v/>
      </c>
      <c r="H360">
        <f>IF(AND(F360&gt;=0,F359&lt;0),(A360-1)+IF(D360&lt;=0,0,-F359/D360),"")</f>
        <v/>
      </c>
    </row>
    <row r="361">
      <c r="A361">
        <f>A360+1</f>
        <v/>
      </c>
      <c r="B361">
        <f>IF(AdoptionRamp&lt;=0,1,MIN(1,A361/AdoptionRamp))</f>
        <v/>
      </c>
      <c r="C361">
        <f>Model!$B$8*B361</f>
        <v/>
      </c>
      <c r="D361">
        <f>C361*Model!$B$7-MonthlyRunCost</f>
        <v/>
      </c>
      <c r="E361" t="n">
        <v>0</v>
      </c>
      <c r="F361">
        <f>F360+D361</f>
        <v/>
      </c>
      <c r="H361">
        <f>IF(AND(F361&gt;=0,F360&lt;0),(A361-1)+IF(D361&lt;=0,0,-F360/D361),"")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2026-10-17T15:17:20Z</dcterms:created>
  <dcterms:modified xsi:type="dcterms:W3CDTF">2026-10-17T15:17:20Z</dcterms:modified>
</cp:coreProperties>
</file>